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<sst xmlns="http://schemas.openxmlformats.org/spreadsheetml/2006/main" count="515" uniqueCount="438">
  <si>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</si>
  <si>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</si>
  <si>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</si>
  <si>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</si>
  <si>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</si>
  <si>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</si>
  <si>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</si>
  <si>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</si>
  <si>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</si>
  <si>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</si>
  <si>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</si>
  <si>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</si>
  <si>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</si>
  <si>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</si>
  <si>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</si>
  <si>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</si>
  <si>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</si>
  <si>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</si>
  <si>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</si>
  <si>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</si>
  <si>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</si>
  <si>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</si>
  <si>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</si>
  <si>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</si>
  <si>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</si>
  <si>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</si>
  <si>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</si>
  <si>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</si>
  <si>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</si>
  <si>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</si>
  <si>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</si>
  <si>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</si>
  <si>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</si>
  <si>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</si>
  <si>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</si>
  <si>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</si>
  <si>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</si>
  <si>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</si>
  <si>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</si>
  <si>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</si>
  <si>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</si>
  <si>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</si>
  <si>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</si>
  <si>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</si>
  <si>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</si>
  <si>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</si>
  <si>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</si>
  <si>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</si>
  <si>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</si>
  <si>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</si>
  <si>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</si>
  <si>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</si>
  <si>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</si>
  <si>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</si>
  <si>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</si>
  <si>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</si>
  <si>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</si>
  <si>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</si>
  <si>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</si>
  <si>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</si>
  <si>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</si>
  <si>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</si>
  <si>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</si>
  <si>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</si>
  <si>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</si>
  <si>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</si>
  <si>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</si>
  <si>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</si>
  <si>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</si>
  <si>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</si>
  <si>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</si>
  <si>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</si>
  <si>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</si>
  <si>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</si>
  <si>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</si>
  <si>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</si>
  <si>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</si>
  <si>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</si>
  <si>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</si>
  <si>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</si>
  <si>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</si>
  <si>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</si>
  <si>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</si>
  <si>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</si>
  <si>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</si>
  <si>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</si>
  <si>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</si>
  <si>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</si>
  <si>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</si>
  <si>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</si>
  <si>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</si>
  <si>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</si>
  <si>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</si>
  <si>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</si>
  <si>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</si>
  <si>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</si>
  <si>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</si>
  <si>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</si>
  <si>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</si>
  <si>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</si>
  <si>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</si>
  <si>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</si>
  <si>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</si>
  <si>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(office, equipment)</t>
  </si>
  <si>
    <t xml:space="preserve">20b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</si>
  <si>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</si>
  <si>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</si>
  <si>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</si>
  <si>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</si>
  <si>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</si>
  <si>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</si>
  <si>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</si>
  <si>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</si>
  <si>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</si>
  <si>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</si>
  <si>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</si>
  <si>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27a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</si>
  <si>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</si>
  <si>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</si>
  <si>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</si>
  <si>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</si>
  <si>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</si>
  <si>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</si>
  <si>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</si>
  <si>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</si>
  <si>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</si>
  <si>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</si>
  <si>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</si>
  <si>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</si>
  <si>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</si>
  <si>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</si>
  <si>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</si>
  <si>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</si>
  <si>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</si>
  <si>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</si>
  <si>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</si>
  <si>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</si>
  <si>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</si>
  <si>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</si>
  <si>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</si>
  <si>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</si>
  <si>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</si>
  <si>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</si>
  <si>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</si>
  <si>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</si>
  <si>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</si>
  <si>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</si>
  <si>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</si>
  <si>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</si>
  <si>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</si>
  <si>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</si>
  <si>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</si>
  <si>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</si>
  <si>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</si>
  <si>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</si>
  <si>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</si>
  <si>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</si>
  <si>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</si>
  <si>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</si>
  <si>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</si>
  <si>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</si>
  <si>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</si>
  <si>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</si>
  <si>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</si>
  <si>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</si>
  <si>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</si>
  <si>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</si>
  <si>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</si>
  <si>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</si>
  <si>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</si>
  <si>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</si>
  <si>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</si>
  <si>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</si>
  <si>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</si>
  <si>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</si>
  <si>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</si>
  <si>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</si>
  <si>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</si>
  <si>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</si>
  <si>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</si>
  <si>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</si>
  <si>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</si>
  <si>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</si>
  <si>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</si>
  <si>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</si>
  <si>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</si>
  <si>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</si>
  <si>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</si>
  <si>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</si>
  <si>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</si>
  <si>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</si>
  <si>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</si>
  <si>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</si>
  <si>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</si>
  <si>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</si>
  <si>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</si>
  <si>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</si>
  <si>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</si>
  <si>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</si>
  <si>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</si>
  <si>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</si>
  <si>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</si>
  <si>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</si>
  <si>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</si>
  <si>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</si>
  <si>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</si>
  <si>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</si>
  <si>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</si>
  <si>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</si>
  <si>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</si>
  <si>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</si>
  <si>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</si>
  <si>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</si>
  <si>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</si>
  <si>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</si>
  <si>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</si>
  <si>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</si>
  <si>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</si>
  <si>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</si>
  <si>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</si>
  <si>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</si>
  <si>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</si>
  <si>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</si>
  <si>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</si>
  <si>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</si>
  <si>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</si>
  <si>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</si>
  <si>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</si>
  <si>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</si>
  <si>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</si>
  <si>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</si>
  <si>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</si>
  <si>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</si>
  <si>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</si>
  <si>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</si>
  <si>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</si>
  <si>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</si>
  <si>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</si>
  <si>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</si>
  <si>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</si>
  <si>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</si>
  <si>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</si>
  <si>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</si>
  <si>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</si>
  <si>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</si>
  <si>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</si>
  <si>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</si>
  <si>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</si>
  <si>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</si>
  <si>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</si>
  <si>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</si>
  <si>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</si>
  <si>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</si>
  <si>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</si>
  <si>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</si>
  <si>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</si>
  <si>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</si>
  <si>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</si>
  <si>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</si>
  <si>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</si>
  <si>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</si>
  <si>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</si>
  <si>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</si>
  <si>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</si>
  <si>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</si>
  <si>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</si>
  <si>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</si>
  <si>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</si>
  <si>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</si>
  <si>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</si>
  <si>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</si>
  <si>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</si>
  <si>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</si>
  <si>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</si>
  <si>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</si>
  <si>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</si>
  <si>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</si>
  <si>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</si>
  <si>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</si>
  <si>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</si>
  <si>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</si>
  <si>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</si>
  <si>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</si>
  <si>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</si>
  <si>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</si>
  <si>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</si>
  <si>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</si>
  <si>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</si>
  <si>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</si>
  <si>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</si>
  <si>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</si>
  <si>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</si>
  <si>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</si>
  <si>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</si>
  <si>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</si>
  <si>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</si>
  <si>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</si>
  <si>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</si>
  <si>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</si>
  <si>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</si>
  <si>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</si>
  <si>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</si>
  <si>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</si>
  <si>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</si>
  <si>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</si>
  <si>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</si>
  <si>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</si>
  <si>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</si>
  <si>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</si>
  <si>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</si>
  <si>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</si>
  <si>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</si>
  <si>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</si>
  <si>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</si>
  <si>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</si>
  <si>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</si>
  <si>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</si>
  <si>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</si>
  <si>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</si>
  <si>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</si>
  <si>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</si>
  <si>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</si>
  <si>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</si>
  <si>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</si>
  <si>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</si>
  <si>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</si>
  <si>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</si>
  <si>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</si>
  <si>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</si>
  <si>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</si>
  <si>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</si>
  <si>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</si>
  <si>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</si>
  <si>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</si>
  <si>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</si>
  <si>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</si>
  <si>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</si>
  <si>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</si>
  <si>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</si>
  <si>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</si>
  <si>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</si>
  <si>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</si>
  <si>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</si>
  <si>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</si>
  <si>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</si>
  <si>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</si>
  <si>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</si>
  <si>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</si>
  <si>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</si>
  <si>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</si>
  <si>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</si>
  <si>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</si>
  <si>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usesCar</t>
  </si>
  <si>
    <t xml:space="preserve">Uses a car for business (Car tab)</t>
  </si>
  <si>
    <t xml:space="preserve">Mississippi</t>
  </si>
  <si>
    <t xml:space="preserve">MS</t>
  </si>
  <si>
    <t xml:space="preserve">carMilesH1</t>
  </si>
  <si>
    <t xml:space="preserve">Business miles Jan-Jun</t>
  </si>
  <si>
    <t xml:space="preserve">Missouri</t>
  </si>
  <si>
    <t xml:space="preserve">MO</t>
  </si>
  <si>
    <t xml:space="preserve">carMilesH2</t>
  </si>
  <si>
    <t xml:space="preserve">Business miles Jul-Dec</t>
  </si>
  <si>
    <t xml:space="preserve">Montana</t>
  </si>
  <si>
    <t xml:space="preserve">MT</t>
  </si>
  <si>
    <t xml:space="preserve">carMilesTotal</t>
  </si>
  <si>
    <t xml:space="preserve">All miles driven in 2026</t>
  </si>
  <si>
    <t xml:space="preserve">Nebraska</t>
  </si>
  <si>
    <t xml:space="preserve">NE</t>
  </si>
  <si>
    <t xml:space="preserve">carCosts</t>
  </si>
  <si>
    <t xml:space="preserve">Actual car costs (before business share)</t>
  </si>
  <si>
    <t xml:space="preserve">Nevada</t>
  </si>
  <si>
    <t xml:space="preserve">NV</t>
  </si>
  <si>
    <t xml:space="preserve">interest</t>
  </si>
  <si>
    <t xml:space="preserve">New Hampshire</t>
  </si>
  <si>
    <t xml:space="preserve">NH</t>
  </si>
  <si>
    <t xml:space="preserve">unemployment</t>
  </si>
  <si>
    <t xml:space="preserve">Unemployment</t>
  </si>
  <si>
    <t xml:space="preserve">New Jersey</t>
  </si>
  <si>
    <t xml:space="preserve">NJ</t>
  </si>
  <si>
    <t xml:space="preserve">otherIncome</t>
  </si>
  <si>
    <t xml:space="preserve">Retirement withdrawals and other income</t>
  </si>
  <si>
    <t xml:space="preserve">New Mexico</t>
  </si>
  <si>
    <t xml:space="preserve">NM</t>
  </si>
  <si>
    <t xml:space="preserve">retirement</t>
  </si>
  <si>
    <t xml:space="preserve">Has retirement withdrawals</t>
  </si>
  <si>
    <t xml:space="preserve">New York</t>
  </si>
  <si>
    <t xml:space="preserve">NY</t>
  </si>
  <si>
    <t xml:space="preserve">hasInvestments</t>
  </si>
  <si>
    <t xml:space="preserve">North Carolina</t>
  </si>
  <si>
    <t xml:space="preserve">NC</t>
  </si>
  <si>
    <t xml:space="preserve">mortgage</t>
  </si>
  <si>
    <t xml:space="preserve">North Dakota</t>
  </si>
  <si>
    <t xml:space="preserve">ND</t>
  </si>
  <si>
    <t xml:space="preserve">studentLoan</t>
  </si>
  <si>
    <t xml:space="preserve">Ohio</t>
  </si>
  <si>
    <t xml:space="preserve">OH</t>
  </si>
  <si>
    <t xml:space="preserve">college</t>
  </si>
  <si>
    <t xml:space="preserve">Oklahoma</t>
  </si>
  <si>
    <t xml:space="preserve">OK</t>
  </si>
  <si>
    <t xml:space="preserve">marketplace</t>
  </si>
  <si>
    <t xml:space="preserve">Oregon</t>
  </si>
  <si>
    <t xml:space="preserve">OR</t>
  </si>
  <si>
    <t xml:space="preserve">noSsn</t>
  </si>
  <si>
    <t xml:space="preserve">Pennsylvania</t>
  </si>
  <si>
    <t xml:space="preserve">PA</t>
  </si>
  <si>
    <t xml:space="preserve">irsLetter</t>
  </si>
  <si>
    <t xml:space="preserve">Rhode Island</t>
  </si>
  <si>
    <t xml:space="preserve">RI</t>
  </si>
  <si>
    <t xml:space="preserve">South Carolina</t>
  </si>
  <si>
    <t xml:space="preserve">SC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</si>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</sst>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23.85" hidden="false" customHeight="false" outlineLevel="0" collapsed="false">
      <c r="A4" s="14" t="s">
        <v>79</v>
      </c>
      <c r="B4" s="14" t="s">
        <v>80</v>
      </c>
      <c r="C4" s="14" t="s">
        <v>81</v>
      </c>
      <c r="D4" s="14" t="s">
        <v>82</v>
      </c>
      <c r="E4" s="14" t="s">
        <v>83</v>
      </c>
      <c r="F4" s="14" t="s">
        <v>84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87</v>
      </c>
    </row>
    <row r="7" customFormat="false" ht="15" hidden="false" customHeight="false" outlineLevel="0" collapsed="false">
      <c r="A7" s="6" t="s">
        <v>88</v>
      </c>
      <c r="B7" s="21" t="s">
        <v>89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90</v>
      </c>
      <c r="B8" s="21" t="s">
        <v>91</v>
      </c>
      <c r="C8" s="19"/>
      <c r="D8" s="24" t="n">
        <v>1</v>
      </c>
      <c r="E8" s="25" t="n">
        <f aca="false">C8*D8</f>
        <v>0</v>
      </c>
    </row>
    <row r="9" customFormat="false" ht="15" hidden="false" customHeight="false" outlineLevel="0" collapsed="false">
      <c r="A9" s="6" t="s">
        <v>92</v>
      </c>
      <c r="B9" s="21" t="s">
        <v>93</v>
      </c>
      <c r="C9" s="19"/>
      <c r="D9" s="24" t="n">
        <v>1</v>
      </c>
      <c r="E9" s="25" t="n">
        <f aca="false">C9*D9</f>
        <v>0</v>
      </c>
      <c r="F9" s="11" t="s">
        <v>94</v>
      </c>
    </row>
    <row r="10" customFormat="false" ht="15" hidden="false" customHeight="false" outlineLevel="0" collapsed="false">
      <c r="A10" s="6" t="s">
        <v>95</v>
      </c>
      <c r="B10" s="21" t="s">
        <v>96</v>
      </c>
      <c r="C10" s="19"/>
      <c r="D10" s="24" t="n">
        <v>1</v>
      </c>
      <c r="E10" s="25" t="n">
        <f aca="false">C10*D10</f>
        <v>0</v>
      </c>
    </row>
    <row r="11" customFormat="false" ht="15" hidden="false" customHeight="false" outlineLevel="0" collapsed="false">
      <c r="A11" s="6" t="s">
        <v>97</v>
      </c>
      <c r="B11" s="21" t="s">
        <v>98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99</v>
      </c>
      <c r="B12" s="21" t="s">
        <v>100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101</v>
      </c>
      <c r="B13" s="21" t="s">
        <v>102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103</v>
      </c>
      <c r="B14" s="21" t="s">
        <v>104</v>
      </c>
      <c r="C14" s="19"/>
      <c r="D14" s="24" t="n">
        <v>1</v>
      </c>
      <c r="E14" s="25" t="n">
        <f aca="false">C14*D14</f>
        <v>0</v>
      </c>
    </row>
    <row r="15" customFormat="false" ht="15" hidden="false" customHeight="false" outlineLevel="0" collapsed="false">
      <c r="A15" s="6" t="s">
        <v>105</v>
      </c>
      <c r="B15" s="21" t="s">
        <v>106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107</v>
      </c>
      <c r="B16" s="21" t="s">
        <v>108</v>
      </c>
      <c r="C16" s="19"/>
      <c r="D16" s="24" t="n">
        <v>1</v>
      </c>
      <c r="E16" s="25" t="n">
        <f aca="false">C16*D16</f>
        <v>0</v>
      </c>
    </row>
    <row r="17" customFormat="false" ht="32.8" hidden="false" customHeight="false" outlineLevel="0" collapsed="false">
      <c r="A17" s="6" t="s">
        <v>109</v>
      </c>
      <c r="B17" s="21" t="s">
        <v>110</v>
      </c>
      <c r="C17" s="19"/>
      <c r="D17" s="24" t="n">
        <v>0.5</v>
      </c>
      <c r="E17" s="25" t="n">
        <f aca="false">C17*D17</f>
        <v>0</v>
      </c>
      <c r="F17" s="11" t="s">
        <v>111</v>
      </c>
    </row>
    <row r="18" customFormat="false" ht="15" hidden="false" customHeight="false" outlineLevel="0" collapsed="false">
      <c r="A18" s="6" t="s">
        <v>112</v>
      </c>
      <c r="B18" s="21" t="s">
        <v>113</v>
      </c>
      <c r="C18" s="19"/>
      <c r="D18" s="24" t="n">
        <v>1</v>
      </c>
      <c r="E18" s="25" t="n">
        <f aca="false">C18*D18</f>
        <v>0</v>
      </c>
      <c r="F18" s="11" t="s">
        <v>114</v>
      </c>
    </row>
    <row r="19" customFormat="false" ht="15" hidden="false" customHeight="false" outlineLevel="0" collapsed="false">
      <c r="A19" s="6" t="s">
        <v>115</v>
      </c>
      <c r="B19" s="21" t="s">
        <v>116</v>
      </c>
      <c r="C19" s="19"/>
      <c r="D19" s="24" t="n">
        <v>1</v>
      </c>
      <c r="E19" s="25" t="n">
        <f aca="false">C19*D19</f>
        <v>0</v>
      </c>
    </row>
    <row r="20" customFormat="false" ht="15" hidden="false" customHeight="false" outlineLevel="0" collapsed="false">
      <c r="A20" s="6" t="s">
        <v>117</v>
      </c>
      <c r="B20" s="21" t="s">
        <v>118</v>
      </c>
      <c r="C20" s="19"/>
      <c r="D20" s="24" t="n">
        <v>1</v>
      </c>
      <c r="E20" s="25" t="n">
        <f aca="false">C20*D20</f>
        <v>0</v>
      </c>
      <c r="F20" s="11" t="s">
        <v>119</v>
      </c>
    </row>
    <row r="21" customFormat="false" ht="15" hidden="false" customHeight="false" outlineLevel="0" collapsed="false">
      <c r="A21" s="6" t="s">
        <v>120</v>
      </c>
      <c r="B21" s="21" t="s">
        <v>118</v>
      </c>
      <c r="C21" s="19"/>
      <c r="D21" s="24" t="n">
        <v>1</v>
      </c>
      <c r="E21" s="25" t="n">
        <f aca="false">C21*D21</f>
        <v>0</v>
      </c>
      <c r="F21" s="11" t="s">
        <v>121</v>
      </c>
    </row>
    <row r="22" customFormat="false" ht="15" hidden="false" customHeight="false" outlineLevel="0" collapsed="false">
      <c r="A22" s="6" t="s">
        <v>122</v>
      </c>
      <c r="B22" s="21" t="s">
        <v>123</v>
      </c>
      <c r="C22" s="19"/>
      <c r="D22" s="24" t="n">
        <v>1</v>
      </c>
      <c r="E22" s="25" t="n">
        <f aca="false">C22*D22</f>
        <v>0</v>
      </c>
    </row>
    <row r="23" customFormat="false" ht="15" hidden="false" customHeight="false" outlineLevel="0" collapsed="false">
      <c r="A23" s="6" t="s">
        <v>124</v>
      </c>
      <c r="B23" s="21" t="s">
        <v>125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126</v>
      </c>
      <c r="B24" s="21" t="s">
        <v>116</v>
      </c>
      <c r="C24" s="19"/>
      <c r="D24" s="24" t="n">
        <v>1</v>
      </c>
      <c r="E24" s="25" t="n">
        <f aca="false">C24*D24</f>
        <v>0</v>
      </c>
      <c r="F24" s="11" t="s">
        <v>127</v>
      </c>
    </row>
    <row r="25" customFormat="false" ht="15" hidden="false" customHeight="false" outlineLevel="0" collapsed="false">
      <c r="A25" s="6" t="s">
        <v>128</v>
      </c>
      <c r="B25" s="21" t="s">
        <v>102</v>
      </c>
      <c r="C25" s="19"/>
      <c r="D25" s="24" t="n">
        <v>1</v>
      </c>
      <c r="E25" s="25" t="n">
        <f aca="false">C25*D25</f>
        <v>0</v>
      </c>
    </row>
    <row r="26" customFormat="false" ht="15" hidden="false" customHeight="false" outlineLevel="0" collapsed="false">
      <c r="A26" s="6" t="s">
        <v>129</v>
      </c>
      <c r="B26" s="21" t="s">
        <v>113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130</v>
      </c>
      <c r="B27" s="21" t="s">
        <v>116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131</v>
      </c>
      <c r="B28" s="21" t="s">
        <v>116</v>
      </c>
      <c r="C28" s="19"/>
      <c r="D28" s="24" t="n">
        <v>1</v>
      </c>
      <c r="E28" s="25" t="n">
        <f aca="false">C28*D28</f>
        <v>0</v>
      </c>
    </row>
    <row r="29" customFormat="false" ht="22.35" hidden="false" customHeight="false" outlineLevel="0" collapsed="false">
      <c r="A29" s="6" t="s">
        <v>132</v>
      </c>
      <c r="B29" s="21" t="s">
        <v>133</v>
      </c>
      <c r="C29" s="19"/>
      <c r="D29" s="24" t="n">
        <v>0</v>
      </c>
      <c r="E29" s="25" t="n">
        <f aca="false">C29*D29</f>
        <v>0</v>
      </c>
      <c r="F29" s="11" t="s">
        <v>134</v>
      </c>
    </row>
    <row r="30" customFormat="false" ht="15" hidden="false" customHeight="false" outlineLevel="0" collapsed="false">
      <c r="A30" s="23" t="s">
        <v>135</v>
      </c>
    </row>
    <row r="31" customFormat="false" ht="22.35" hidden="false" customHeight="false" outlineLevel="0" collapsed="false">
      <c r="A31" s="6" t="s">
        <v>136</v>
      </c>
      <c r="B31" s="21" t="s">
        <v>91</v>
      </c>
      <c r="C31" s="19"/>
      <c r="D31" s="24" t="n">
        <v>1</v>
      </c>
      <c r="E31" s="25" t="n">
        <f aca="false">C31*D31</f>
        <v>0</v>
      </c>
      <c r="F31" s="11" t="s">
        <v>137</v>
      </c>
    </row>
    <row r="32" customFormat="false" ht="15" hidden="false" customHeight="false" outlineLevel="0" collapsed="false">
      <c r="A32" s="6" t="s">
        <v>138</v>
      </c>
      <c r="B32" s="21" t="s">
        <v>86</v>
      </c>
      <c r="C32" s="19"/>
      <c r="D32" s="24" t="n">
        <v>1</v>
      </c>
      <c r="E32" s="25" t="n">
        <f aca="false">C32*D32</f>
        <v>0</v>
      </c>
      <c r="F32" s="11" t="s">
        <v>139</v>
      </c>
    </row>
    <row r="33" customFormat="false" ht="15" hidden="false" customHeight="false" outlineLevel="0" collapsed="false">
      <c r="A33" s="6" t="s">
        <v>140</v>
      </c>
      <c r="B33" s="21" t="s">
        <v>118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141</v>
      </c>
      <c r="B34" s="21" t="s">
        <v>118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142</v>
      </c>
      <c r="B35" s="21" t="s">
        <v>118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143</v>
      </c>
      <c r="B36" s="21" t="s">
        <v>106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23" t="s">
        <v>144</v>
      </c>
    </row>
    <row r="38" customFormat="false" ht="15" hidden="false" customHeight="false" outlineLevel="0" collapsed="false">
      <c r="A38" s="6" t="s">
        <v>145</v>
      </c>
      <c r="B38" s="21" t="s">
        <v>86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146</v>
      </c>
      <c r="B39" s="21" t="s">
        <v>86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147</v>
      </c>
      <c r="B40" s="21" t="s">
        <v>106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148</v>
      </c>
      <c r="B41" s="21" t="s">
        <v>106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149</v>
      </c>
      <c r="B42" s="21" t="s">
        <v>106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150</v>
      </c>
      <c r="B43" s="21" t="s">
        <v>106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151</v>
      </c>
      <c r="B44" s="21" t="s">
        <v>106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152</v>
      </c>
      <c r="B45" s="21" t="s">
        <v>106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153</v>
      </c>
      <c r="B46" s="21" t="s">
        <v>106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154</v>
      </c>
      <c r="B47" s="21" t="s">
        <v>96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155</v>
      </c>
      <c r="B48" s="21" t="s">
        <v>123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156</v>
      </c>
      <c r="B49" s="21" t="s">
        <v>98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157</v>
      </c>
      <c r="B50" s="21" t="s">
        <v>116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158</v>
      </c>
      <c r="B51" s="21" t="s">
        <v>116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159</v>
      </c>
      <c r="B52" s="21" t="s">
        <v>116</v>
      </c>
      <c r="C52" s="19"/>
      <c r="D52" s="24" t="n">
        <v>1</v>
      </c>
      <c r="E52" s="25" t="n">
        <f aca="false">C52*D52</f>
        <v>0</v>
      </c>
    </row>
    <row r="53" customFormat="false" ht="15" hidden="false" customHeight="false" outlineLevel="0" collapsed="false">
      <c r="A53" s="6" t="s">
        <v>160</v>
      </c>
      <c r="B53" s="21" t="s">
        <v>91</v>
      </c>
      <c r="C53" s="19"/>
      <c r="D53" s="24" t="n">
        <v>1</v>
      </c>
      <c r="E53" s="25" t="n">
        <f aca="false">C53*D53</f>
        <v>0</v>
      </c>
    </row>
    <row r="54" customFormat="false" ht="15" hidden="false" customHeight="false" outlineLevel="0" collapsed="false">
      <c r="A54" s="6" t="s">
        <v>161</v>
      </c>
      <c r="B54" s="21" t="s">
        <v>162</v>
      </c>
      <c r="C54" s="19"/>
      <c r="D54" s="24" t="n">
        <v>1</v>
      </c>
      <c r="E54" s="25" t="n">
        <f aca="false">C54*D54</f>
        <v>0</v>
      </c>
    </row>
    <row r="55" customFormat="false" ht="15" hidden="false" customHeight="false" outlineLevel="0" collapsed="false">
      <c r="A55" s="6" t="s">
        <v>163</v>
      </c>
      <c r="B55" s="21" t="s">
        <v>93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164</v>
      </c>
      <c r="B56" s="21" t="s">
        <v>116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165</v>
      </c>
      <c r="B57" s="21" t="s">
        <v>116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166</v>
      </c>
      <c r="B58" s="21" t="s">
        <v>118</v>
      </c>
      <c r="C58" s="19"/>
      <c r="D58" s="24" t="n">
        <v>1</v>
      </c>
      <c r="E58" s="25" t="n">
        <f aca="false">C58*D58</f>
        <v>0</v>
      </c>
      <c r="F58" s="11" t="s">
        <v>167</v>
      </c>
    </row>
    <row r="59" customFormat="false" ht="15" hidden="false" customHeight="false" outlineLevel="0" collapsed="false">
      <c r="A59" s="6" t="s">
        <v>168</v>
      </c>
      <c r="B59" s="21" t="s">
        <v>116</v>
      </c>
      <c r="C59" s="19"/>
      <c r="D59" s="24" t="n">
        <v>1</v>
      </c>
      <c r="E59" s="25" t="n">
        <f aca="false">C59*D59</f>
        <v>0</v>
      </c>
      <c r="F59" s="11" t="s">
        <v>167</v>
      </c>
    </row>
    <row r="60" customFormat="false" ht="15" hidden="false" customHeight="false" outlineLevel="0" collapsed="false">
      <c r="A60" s="23" t="s">
        <v>169</v>
      </c>
    </row>
    <row r="61" customFormat="false" ht="15" hidden="false" customHeight="false" outlineLevel="0" collapsed="false">
      <c r="A61" s="6" t="s">
        <v>170</v>
      </c>
      <c r="B61" s="21" t="s">
        <v>125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171</v>
      </c>
      <c r="B62" s="21" t="s">
        <v>125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172</v>
      </c>
      <c r="B63" s="21" t="s">
        <v>125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173</v>
      </c>
      <c r="B64" s="21" t="s">
        <v>125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174</v>
      </c>
      <c r="B65" s="21" t="s">
        <v>125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175</v>
      </c>
      <c r="B66" s="21" t="s">
        <v>125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176</v>
      </c>
      <c r="B67" s="21" t="s">
        <v>125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177</v>
      </c>
      <c r="B68" s="21" t="s">
        <v>125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178</v>
      </c>
      <c r="B69" s="21" t="s">
        <v>125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179</v>
      </c>
      <c r="B70" s="21" t="s">
        <v>125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180</v>
      </c>
      <c r="B71" s="21" t="s">
        <v>125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181</v>
      </c>
      <c r="B72" s="21" t="s">
        <v>125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6" t="s">
        <v>182</v>
      </c>
      <c r="B73" s="21" t="s">
        <v>125</v>
      </c>
      <c r="C73" s="19"/>
      <c r="D73" s="24" t="n">
        <v>1</v>
      </c>
      <c r="E73" s="25" t="n">
        <f aca="false">C73*D73</f>
        <v>0</v>
      </c>
    </row>
    <row r="74" customFormat="false" ht="15" hidden="false" customHeight="false" outlineLevel="0" collapsed="false">
      <c r="A74" s="6" t="s">
        <v>183</v>
      </c>
      <c r="B74" s="21" t="s">
        <v>125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6" t="s">
        <v>184</v>
      </c>
      <c r="B75" s="21" t="s">
        <v>125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6" t="s">
        <v>185</v>
      </c>
      <c r="B76" s="21" t="s">
        <v>125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6" t="s">
        <v>186</v>
      </c>
      <c r="B77" s="21" t="s">
        <v>125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6" t="s">
        <v>187</v>
      </c>
      <c r="B78" s="21" t="s">
        <v>125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23" t="s">
        <v>188</v>
      </c>
    </row>
    <row r="80" customFormat="false" ht="15" hidden="false" customHeight="false" outlineLevel="0" collapsed="false">
      <c r="A80" s="10"/>
      <c r="B80" s="21" t="s">
        <v>116</v>
      </c>
      <c r="C80" s="19"/>
      <c r="D80" s="24" t="n">
        <v>1</v>
      </c>
      <c r="E80" s="25" t="n">
        <f aca="false">C80*D80</f>
        <v>0</v>
      </c>
    </row>
    <row r="81" customFormat="false" ht="15" hidden="false" customHeight="false" outlineLevel="0" collapsed="false">
      <c r="A81" s="10"/>
      <c r="B81" s="21" t="s">
        <v>116</v>
      </c>
      <c r="C81" s="19"/>
      <c r="D81" s="24" t="n">
        <v>1</v>
      </c>
      <c r="E81" s="25" t="n">
        <f aca="false">C81*D81</f>
        <v>0</v>
      </c>
    </row>
    <row r="82" customFormat="false" ht="15" hidden="false" customHeight="false" outlineLevel="0" collapsed="false">
      <c r="A82" s="10"/>
      <c r="B82" s="21" t="s">
        <v>116</v>
      </c>
      <c r="C82" s="19"/>
      <c r="D82" s="24" t="n">
        <v>1</v>
      </c>
      <c r="E82" s="25" t="n">
        <f aca="false">C82*D82</f>
        <v>0</v>
      </c>
    </row>
    <row r="83" customFormat="false" ht="15" hidden="false" customHeight="false" outlineLevel="0" collapsed="false">
      <c r="A83" s="10"/>
      <c r="B83" s="21" t="s">
        <v>116</v>
      </c>
      <c r="C83" s="19"/>
      <c r="D83" s="24" t="n">
        <v>1</v>
      </c>
      <c r="E83" s="25" t="n">
        <f aca="false">C83*D83</f>
        <v>0</v>
      </c>
    </row>
    <row r="84" customFormat="false" ht="15" hidden="false" customHeight="false" outlineLevel="0" collapsed="false">
      <c r="A84" s="10"/>
      <c r="B84" s="21" t="s">
        <v>116</v>
      </c>
      <c r="C84" s="19"/>
      <c r="D84" s="24" t="n">
        <v>1</v>
      </c>
      <c r="E84" s="25" t="n">
        <f aca="false">C84*D84</f>
        <v>0</v>
      </c>
    </row>
    <row r="85" customFormat="false" ht="15" hidden="false" customHeight="false" outlineLevel="0" collapsed="false">
      <c r="A85" s="9" t="s">
        <v>189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190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14" t="s">
        <v>193</v>
      </c>
      <c r="B4" s="14" t="s">
        <v>193</v>
      </c>
      <c r="C4" s="14" t="s">
        <v>84</v>
      </c>
    </row>
    <row r="5" customFormat="false" ht="22.35" hidden="false" customHeight="false" outlineLevel="0" collapsed="false">
      <c r="A5" s="6" t="s">
        <v>194</v>
      </c>
      <c r="B5" s="26"/>
      <c r="C5" s="11" t="s">
        <v>195</v>
      </c>
    </row>
    <row r="6" customFormat="false" ht="15" hidden="false" customHeight="false" outlineLevel="0" collapsed="false">
      <c r="A6" s="6" t="s">
        <v>196</v>
      </c>
      <c r="B6" s="26"/>
    </row>
    <row r="7" customFormat="false" ht="22.35" hidden="false" customHeight="false" outlineLevel="0" collapsed="false">
      <c r="A7" s="6" t="s">
        <v>197</v>
      </c>
      <c r="B7" s="26"/>
      <c r="C7" s="11" t="s">
        <v>198</v>
      </c>
    </row>
    <row r="9" customFormat="false" ht="15" hidden="false" customHeight="false" outlineLevel="0" collapsed="false">
      <c r="A9" s="14" t="s">
        <v>199</v>
      </c>
      <c r="B9" s="14" t="s">
        <v>81</v>
      </c>
      <c r="C9" s="14" t="s">
        <v>84</v>
      </c>
    </row>
    <row r="10" customFormat="false" ht="15" hidden="false" customHeight="false" outlineLevel="0" collapsed="false">
      <c r="A10" s="6" t="s">
        <v>200</v>
      </c>
      <c r="B10" s="19"/>
    </row>
    <row r="11" customFormat="false" ht="15" hidden="false" customHeight="false" outlineLevel="0" collapsed="false">
      <c r="A11" s="6" t="s">
        <v>201</v>
      </c>
      <c r="B11" s="19"/>
    </row>
    <row r="12" customFormat="false" ht="15" hidden="false" customHeight="false" outlineLevel="0" collapsed="false">
      <c r="A12" s="6" t="s">
        <v>202</v>
      </c>
      <c r="B12" s="19"/>
    </row>
    <row r="13" customFormat="false" ht="15" hidden="false" customHeight="false" outlineLevel="0" collapsed="false">
      <c r="A13" s="6" t="s">
        <v>203</v>
      </c>
      <c r="B13" s="19"/>
    </row>
    <row r="14" customFormat="false" ht="15" hidden="false" customHeight="false" outlineLevel="0" collapsed="false">
      <c r="A14" s="6" t="s">
        <v>204</v>
      </c>
      <c r="B14" s="19"/>
    </row>
    <row r="15" customFormat="false" ht="15" hidden="false" customHeight="false" outlineLevel="0" collapsed="false">
      <c r="A15" s="6" t="s">
        <v>205</v>
      </c>
      <c r="B15" s="19"/>
    </row>
    <row r="16" customFormat="false" ht="15" hidden="false" customHeight="false" outlineLevel="0" collapsed="false">
      <c r="A16" s="6" t="s">
        <v>206</v>
      </c>
      <c r="B16" s="19"/>
    </row>
    <row r="17" customFormat="false" ht="15" hidden="false" customHeight="false" outlineLevel="0" collapsed="false">
      <c r="A17" s="6" t="s">
        <v>207</v>
      </c>
      <c r="B17" s="19"/>
    </row>
    <row r="18" customFormat="false" ht="15" hidden="false" customHeight="false" outlineLevel="0" collapsed="false">
      <c r="A18" s="9" t="s">
        <v>208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209</v>
      </c>
      <c r="B20" s="27" t="n">
        <f aca="false">B5*Data!$C$66+B6*Data!$C$67</f>
        <v>0</v>
      </c>
    </row>
    <row r="21" customFormat="false" ht="15" hidden="false" customHeight="false" outlineLevel="0" collapsed="false">
      <c r="A21" s="6" t="s">
        <v>210</v>
      </c>
      <c r="B21" s="28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211</v>
      </c>
      <c r="B22" s="27" t="str">
        <f aca="false">IF(N(B21)&gt;0,B18*B21,"")</f>
        <v/>
      </c>
    </row>
    <row r="23" customFormat="false" ht="15" hidden="false" customHeight="false" outlineLevel="0" collapsed="false">
      <c r="A23" s="9" t="s">
        <v>212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213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23.85" hidden="false" customHeight="false" outlineLevel="0" collapsed="false">
      <c r="A4" s="14" t="s">
        <v>216</v>
      </c>
      <c r="B4" s="14" t="s">
        <v>217</v>
      </c>
      <c r="C4" s="14" t="s">
        <v>218</v>
      </c>
      <c r="D4" s="14" t="s">
        <v>219</v>
      </c>
      <c r="E4" s="14" t="s">
        <v>220</v>
      </c>
      <c r="F4" s="14" t="s">
        <v>221</v>
      </c>
      <c r="G4" s="14" t="s">
        <v>222</v>
      </c>
    </row>
    <row r="5" customFormat="false" ht="15" hidden="false" customHeight="false" outlineLevel="0" collapsed="false">
      <c r="A5" s="15" t="s">
        <v>223</v>
      </c>
      <c r="B5" s="15" t="s">
        <v>224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9"/>
      <c r="B6" s="29"/>
      <c r="C6" s="12"/>
      <c r="D6" s="30" t="n">
        <f aca="false">IF(AND(ISNUMBER(A6),ISNUMBER(B6),B6&gt;A6),MAX(0,MIN(B6-1,DATE(2026,12,31))-MAX(A6+1,DATE(2026,1,1))+1),0)</f>
        <v>0</v>
      </c>
      <c r="E6" s="30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(D6-MIN(C6,D6))*Data!$C$60+MIN(C6,D6)*Data!$C$61+E6*Data!$C$60*Data!$C$62</f>
        <v>0</v>
      </c>
      <c r="G6" s="31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29"/>
      <c r="B7" s="29"/>
      <c r="C7" s="12"/>
      <c r="D7" s="30" t="n">
        <f aca="false">IF(AND(ISNUMBER(A7),ISNUMBER(B7),B7&gt;A7),MAX(0,MIN(B7-1,DATE(2026,12,31))-MAX(A7+1,DATE(2026,1,1))+1),0)</f>
        <v>0</v>
      </c>
      <c r="E7" s="30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(D7-MIN(C7,D7))*Data!$C$60+MIN(C7,D7)*Data!$C$61+E7*Data!$C$60*Data!$C$62</f>
        <v>0</v>
      </c>
      <c r="G7" s="31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29"/>
      <c r="B8" s="29"/>
      <c r="C8" s="12"/>
      <c r="D8" s="30" t="n">
        <f aca="false">IF(AND(ISNUMBER(A8),ISNUMBER(B8),B8&gt;A8),MAX(0,MIN(B8-1,DATE(2026,12,31))-MAX(A8+1,DATE(2026,1,1))+1),0)</f>
        <v>0</v>
      </c>
      <c r="E8" s="30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(D8-MIN(C8,D8))*Data!$C$60+MIN(C8,D8)*Data!$C$61+E8*Data!$C$60*Data!$C$62</f>
        <v>0</v>
      </c>
      <c r="G8" s="31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29"/>
      <c r="B9" s="29"/>
      <c r="C9" s="12"/>
      <c r="D9" s="30" t="n">
        <f aca="false">IF(AND(ISNUMBER(A9),ISNUMBER(B9),B9&gt;A9),MAX(0,MIN(B9-1,DATE(2026,12,31))-MAX(A9+1,DATE(2026,1,1))+1),0)</f>
        <v>0</v>
      </c>
      <c r="E9" s="30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(D9-MIN(C9,D9))*Data!$C$60+MIN(C9,D9)*Data!$C$61+E9*Data!$C$60*Data!$C$62</f>
        <v>0</v>
      </c>
      <c r="G9" s="31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29"/>
      <c r="B10" s="29"/>
      <c r="C10" s="12"/>
      <c r="D10" s="30" t="n">
        <f aca="false">IF(AND(ISNUMBER(A10),ISNUMBER(B10),B10&gt;A10),MAX(0,MIN(B10-1,DATE(2026,12,31))-MAX(A10+1,DATE(2026,1,1))+1),0)</f>
        <v>0</v>
      </c>
      <c r="E10" s="30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(D10-MIN(C10,D10))*Data!$C$60+MIN(C10,D10)*Data!$C$61+E10*Data!$C$60*Data!$C$62</f>
        <v>0</v>
      </c>
      <c r="G10" s="31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29"/>
      <c r="B11" s="29"/>
      <c r="C11" s="12"/>
      <c r="D11" s="30" t="n">
        <f aca="false">IF(AND(ISNUMBER(A11),ISNUMBER(B11),B11&gt;A11),MAX(0,MIN(B11-1,DATE(2026,12,31))-MAX(A11+1,DATE(2026,1,1))+1),0)</f>
        <v>0</v>
      </c>
      <c r="E11" s="30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(D11-MIN(C11,D11))*Data!$C$60+MIN(C11,D11)*Data!$C$61+E11*Data!$C$60*Data!$C$62</f>
        <v>0</v>
      </c>
      <c r="G11" s="31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29"/>
      <c r="B12" s="29"/>
      <c r="C12" s="12"/>
      <c r="D12" s="30" t="n">
        <f aca="false">IF(AND(ISNUMBER(A12),ISNUMBER(B12),B12&gt;A12),MAX(0,MIN(B12-1,DATE(2026,12,31))-MAX(A12+1,DATE(2026,1,1))+1),0)</f>
        <v>0</v>
      </c>
      <c r="E12" s="30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(D12-MIN(C12,D12))*Data!$C$60+MIN(C12,D12)*Data!$C$61+E12*Data!$C$60*Data!$C$62</f>
        <v>0</v>
      </c>
      <c r="G12" s="31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29"/>
      <c r="B13" s="29"/>
      <c r="C13" s="12"/>
      <c r="D13" s="30" t="n">
        <f aca="false">IF(AND(ISNUMBER(A13),ISNUMBER(B13),B13&gt;A13),MAX(0,MIN(B13-1,DATE(2026,12,31))-MAX(A13+1,DATE(2026,1,1))+1),0)</f>
        <v>0</v>
      </c>
      <c r="E13" s="30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(D13-MIN(C13,D13))*Data!$C$60+MIN(C13,D13)*Data!$C$61+E13*Data!$C$60*Data!$C$62</f>
        <v>0</v>
      </c>
      <c r="G13" s="31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29"/>
      <c r="B14" s="29"/>
      <c r="C14" s="12"/>
      <c r="D14" s="30" t="n">
        <f aca="false">IF(AND(ISNUMBER(A14),ISNUMBER(B14),B14&gt;A14),MAX(0,MIN(B14-1,DATE(2026,12,31))-MAX(A14+1,DATE(2026,1,1))+1),0)</f>
        <v>0</v>
      </c>
      <c r="E14" s="30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(D14-MIN(C14,D14))*Data!$C$60+MIN(C14,D14)*Data!$C$61+E14*Data!$C$60*Data!$C$62</f>
        <v>0</v>
      </c>
      <c r="G14" s="31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29"/>
      <c r="B15" s="29"/>
      <c r="C15" s="12"/>
      <c r="D15" s="30" t="n">
        <f aca="false">IF(AND(ISNUMBER(A15),ISNUMBER(B15),B15&gt;A15),MAX(0,MIN(B15-1,DATE(2026,12,31))-MAX(A15+1,DATE(2026,1,1))+1),0)</f>
        <v>0</v>
      </c>
      <c r="E15" s="30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(D15-MIN(C15,D15))*Data!$C$60+MIN(C15,D15)*Data!$C$61+E15*Data!$C$60*Data!$C$62</f>
        <v>0</v>
      </c>
      <c r="G15" s="31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29"/>
      <c r="B16" s="29"/>
      <c r="C16" s="12"/>
      <c r="D16" s="30" t="n">
        <f aca="false">IF(AND(ISNUMBER(A16),ISNUMBER(B16),B16&gt;A16),MAX(0,MIN(B16-1,DATE(2026,12,31))-MAX(A16+1,DATE(2026,1,1))+1),0)</f>
        <v>0</v>
      </c>
      <c r="E16" s="30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(D16-MIN(C16,D16))*Data!$C$60+MIN(C16,D16)*Data!$C$61+E16*Data!$C$60*Data!$C$62</f>
        <v>0</v>
      </c>
      <c r="G16" s="31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29"/>
      <c r="B17" s="29"/>
      <c r="C17" s="12"/>
      <c r="D17" s="30" t="n">
        <f aca="false">IF(AND(ISNUMBER(A17),ISNUMBER(B17),B17&gt;A17),MAX(0,MIN(B17-1,DATE(2026,12,31))-MAX(A17+1,DATE(2026,1,1))+1),0)</f>
        <v>0</v>
      </c>
      <c r="E17" s="30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(D17-MIN(C17,D17))*Data!$C$60+MIN(C17,D17)*Data!$C$61+E17*Data!$C$60*Data!$C$62</f>
        <v>0</v>
      </c>
      <c r="G17" s="31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29"/>
      <c r="B18" s="29"/>
      <c r="C18" s="12"/>
      <c r="D18" s="30" t="n">
        <f aca="false">IF(AND(ISNUMBER(A18),ISNUMBER(B18),B18&gt;A18),MAX(0,MIN(B18-1,DATE(2026,12,31))-MAX(A18+1,DATE(2026,1,1))+1),0)</f>
        <v>0</v>
      </c>
      <c r="E18" s="30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(D18-MIN(C18,D18))*Data!$C$60+MIN(C18,D18)*Data!$C$61+E18*Data!$C$60*Data!$C$62</f>
        <v>0</v>
      </c>
      <c r="G18" s="31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29"/>
      <c r="B19" s="29"/>
      <c r="C19" s="12"/>
      <c r="D19" s="30" t="n">
        <f aca="false">IF(AND(ISNUMBER(A19),ISNUMBER(B19),B19&gt;A19),MAX(0,MIN(B19-1,DATE(2026,12,31))-MAX(A19+1,DATE(2026,1,1))+1),0)</f>
        <v>0</v>
      </c>
      <c r="E19" s="30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(D19-MIN(C19,D19))*Data!$C$60+MIN(C19,D19)*Data!$C$61+E19*Data!$C$60*Data!$C$62</f>
        <v>0</v>
      </c>
      <c r="G19" s="31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29"/>
      <c r="B20" s="29"/>
      <c r="C20" s="12"/>
      <c r="D20" s="30" t="n">
        <f aca="false">IF(AND(ISNUMBER(A20),ISNUMBER(B20),B20&gt;A20),MAX(0,MIN(B20-1,DATE(2026,12,31))-MAX(A20+1,DATE(2026,1,1))+1),0)</f>
        <v>0</v>
      </c>
      <c r="E20" s="30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(D20-MIN(C20,D20))*Data!$C$60+MIN(C20,D20)*Data!$C$61+E20*Data!$C$60*Data!$C$62</f>
        <v>0</v>
      </c>
      <c r="G20" s="31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29"/>
      <c r="B21" s="29"/>
      <c r="C21" s="12"/>
      <c r="D21" s="30" t="n">
        <f aca="false">IF(AND(ISNUMBER(A21),ISNUMBER(B21),B21&gt;A21),MAX(0,MIN(B21-1,DATE(2026,12,31))-MAX(A21+1,DATE(2026,1,1))+1),0)</f>
        <v>0</v>
      </c>
      <c r="E21" s="30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(D21-MIN(C21,D21))*Data!$C$60+MIN(C21,D21)*Data!$C$61+E21*Data!$C$60*Data!$C$62</f>
        <v>0</v>
      </c>
      <c r="G21" s="31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29"/>
      <c r="B22" s="29"/>
      <c r="C22" s="12"/>
      <c r="D22" s="30" t="n">
        <f aca="false">IF(AND(ISNUMBER(A22),ISNUMBER(B22),B22&gt;A22),MAX(0,MIN(B22-1,DATE(2026,12,31))-MAX(A22+1,DATE(2026,1,1))+1),0)</f>
        <v>0</v>
      </c>
      <c r="E22" s="30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(D22-MIN(C22,D22))*Data!$C$60+MIN(C22,D22)*Data!$C$61+E22*Data!$C$60*Data!$C$62</f>
        <v>0</v>
      </c>
      <c r="G22" s="31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29"/>
      <c r="B23" s="29"/>
      <c r="C23" s="12"/>
      <c r="D23" s="30" t="n">
        <f aca="false">IF(AND(ISNUMBER(A23),ISNUMBER(B23),B23&gt;A23),MAX(0,MIN(B23-1,DATE(2026,12,31))-MAX(A23+1,DATE(2026,1,1))+1),0)</f>
        <v>0</v>
      </c>
      <c r="E23" s="30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(D23-MIN(C23,D23))*Data!$C$60+MIN(C23,D23)*Data!$C$61+E23*Data!$C$60*Data!$C$62</f>
        <v>0</v>
      </c>
      <c r="G23" s="31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29"/>
      <c r="B24" s="29"/>
      <c r="C24" s="12"/>
      <c r="D24" s="30" t="n">
        <f aca="false">IF(AND(ISNUMBER(A24),ISNUMBER(B24),B24&gt;A24),MAX(0,MIN(B24-1,DATE(2026,12,31))-MAX(A24+1,DATE(2026,1,1))+1),0)</f>
        <v>0</v>
      </c>
      <c r="E24" s="30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(D24-MIN(C24,D24))*Data!$C$60+MIN(C24,D24)*Data!$C$61+E24*Data!$C$60*Data!$C$62</f>
        <v>0</v>
      </c>
      <c r="G24" s="31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29"/>
      <c r="B25" s="29"/>
      <c r="C25" s="12"/>
      <c r="D25" s="30" t="n">
        <f aca="false">IF(AND(ISNUMBER(A25),ISNUMBER(B25),B25&gt;A25),MAX(0,MIN(B25-1,DATE(2026,12,31))-MAX(A25+1,DATE(2026,1,1))+1),0)</f>
        <v>0</v>
      </c>
      <c r="E25" s="30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(D25-MIN(C25,D25))*Data!$C$60+MIN(C25,D25)*Data!$C$61+E25*Data!$C$60*Data!$C$62</f>
        <v>0</v>
      </c>
      <c r="G25" s="31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29"/>
      <c r="B26" s="29"/>
      <c r="C26" s="12"/>
      <c r="D26" s="30" t="n">
        <f aca="false">IF(AND(ISNUMBER(A26),ISNUMBER(B26),B26&gt;A26),MAX(0,MIN(B26-1,DATE(2026,12,31))-MAX(A26+1,DATE(2026,1,1))+1),0)</f>
        <v>0</v>
      </c>
      <c r="E26" s="30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(D26-MIN(C26,D26))*Data!$C$60+MIN(C26,D26)*Data!$C$61+E26*Data!$C$60*Data!$C$62</f>
        <v>0</v>
      </c>
      <c r="G26" s="31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29"/>
      <c r="B27" s="29"/>
      <c r="C27" s="12"/>
      <c r="D27" s="30" t="n">
        <f aca="false">IF(AND(ISNUMBER(A27),ISNUMBER(B27),B27&gt;A27),MAX(0,MIN(B27-1,DATE(2026,12,31))-MAX(A27+1,DATE(2026,1,1))+1),0)</f>
        <v>0</v>
      </c>
      <c r="E27" s="30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(D27-MIN(C27,D27))*Data!$C$60+MIN(C27,D27)*Data!$C$61+E27*Data!$C$60*Data!$C$62</f>
        <v>0</v>
      </c>
      <c r="G27" s="31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29"/>
      <c r="B28" s="29"/>
      <c r="C28" s="12"/>
      <c r="D28" s="30" t="n">
        <f aca="false">IF(AND(ISNUMBER(A28),ISNUMBER(B28),B28&gt;A28),MAX(0,MIN(B28-1,DATE(2026,12,31))-MAX(A28+1,DATE(2026,1,1))+1),0)</f>
        <v>0</v>
      </c>
      <c r="E28" s="30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(D28-MIN(C28,D28))*Data!$C$60+MIN(C28,D28)*Data!$C$61+E28*Data!$C$60*Data!$C$62</f>
        <v>0</v>
      </c>
      <c r="G28" s="31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29"/>
      <c r="B29" s="29"/>
      <c r="C29" s="12"/>
      <c r="D29" s="30" t="n">
        <f aca="false">IF(AND(ISNUMBER(A29),ISNUMBER(B29),B29&gt;A29),MAX(0,MIN(B29-1,DATE(2026,12,31))-MAX(A29+1,DATE(2026,1,1))+1),0)</f>
        <v>0</v>
      </c>
      <c r="E29" s="30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(D29-MIN(C29,D29))*Data!$C$60+MIN(C29,D29)*Data!$C$61+E29*Data!$C$60*Data!$C$62</f>
        <v>0</v>
      </c>
      <c r="G29" s="31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29"/>
      <c r="B30" s="29"/>
      <c r="C30" s="12"/>
      <c r="D30" s="30" t="n">
        <f aca="false">IF(AND(ISNUMBER(A30),ISNUMBER(B30),B30&gt;A30),MAX(0,MIN(B30-1,DATE(2026,12,31))-MAX(A30+1,DATE(2026,1,1))+1),0)</f>
        <v>0</v>
      </c>
      <c r="E30" s="30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(D30-MIN(C30,D30))*Data!$C$60+MIN(C30,D30)*Data!$C$61+E30*Data!$C$60*Data!$C$62</f>
        <v>0</v>
      </c>
      <c r="G30" s="31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29"/>
      <c r="B31" s="29"/>
      <c r="C31" s="12"/>
      <c r="D31" s="30" t="n">
        <f aca="false">IF(AND(ISNUMBER(A31),ISNUMBER(B31),B31&gt;A31),MAX(0,MIN(B31-1,DATE(2026,12,31))-MAX(A31+1,DATE(2026,1,1))+1),0)</f>
        <v>0</v>
      </c>
      <c r="E31" s="30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(D31-MIN(C31,D31))*Data!$C$60+MIN(C31,D31)*Data!$C$61+E31*Data!$C$60*Data!$C$62</f>
        <v>0</v>
      </c>
      <c r="G31" s="31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29"/>
      <c r="B32" s="29"/>
      <c r="C32" s="12"/>
      <c r="D32" s="30" t="n">
        <f aca="false">IF(AND(ISNUMBER(A32),ISNUMBER(B32),B32&gt;A32),MAX(0,MIN(B32-1,DATE(2026,12,31))-MAX(A32+1,DATE(2026,1,1))+1),0)</f>
        <v>0</v>
      </c>
      <c r="E32" s="30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(D32-MIN(C32,D32))*Data!$C$60+MIN(C32,D32)*Data!$C$61+E32*Data!$C$60*Data!$C$62</f>
        <v>0</v>
      </c>
      <c r="G32" s="31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29"/>
      <c r="B33" s="29"/>
      <c r="C33" s="12"/>
      <c r="D33" s="30" t="n">
        <f aca="false">IF(AND(ISNUMBER(A33),ISNUMBER(B33),B33&gt;A33),MAX(0,MIN(B33-1,DATE(2026,12,31))-MAX(A33+1,DATE(2026,1,1))+1),0)</f>
        <v>0</v>
      </c>
      <c r="E33" s="30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(D33-MIN(C33,D33))*Data!$C$60+MIN(C33,D33)*Data!$C$61+E33*Data!$C$60*Data!$C$62</f>
        <v>0</v>
      </c>
      <c r="G33" s="31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29"/>
      <c r="B34" s="29"/>
      <c r="C34" s="12"/>
      <c r="D34" s="30" t="n">
        <f aca="false">IF(AND(ISNUMBER(A34),ISNUMBER(B34),B34&gt;A34),MAX(0,MIN(B34-1,DATE(2026,12,31))-MAX(A34+1,DATE(2026,1,1))+1),0)</f>
        <v>0</v>
      </c>
      <c r="E34" s="30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(D34-MIN(C34,D34))*Data!$C$60+MIN(C34,D34)*Data!$C$61+E34*Data!$C$60*Data!$C$62</f>
        <v>0</v>
      </c>
      <c r="G34" s="31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29"/>
      <c r="B35" s="29"/>
      <c r="C35" s="12"/>
      <c r="D35" s="30" t="n">
        <f aca="false">IF(AND(ISNUMBER(A35),ISNUMBER(B35),B35&gt;A35),MAX(0,MIN(B35-1,DATE(2026,12,31))-MAX(A35+1,DATE(2026,1,1))+1),0)</f>
        <v>0</v>
      </c>
      <c r="E35" s="30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(D35-MIN(C35,D35))*Data!$C$60+MIN(C35,D35)*Data!$C$61+E35*Data!$C$60*Data!$C$62</f>
        <v>0</v>
      </c>
      <c r="G35" s="31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2" t="n">
        <f aca="false">SUM(C6:C35)</f>
        <v>0</v>
      </c>
      <c r="D36" s="32" t="n">
        <f aca="false">SUM(D6:D35)</f>
        <v>0</v>
      </c>
      <c r="E36" s="32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225</v>
      </c>
      <c r="F37" s="33" t="n">
        <f aca="false">F36*Data!$C$63</f>
        <v>0</v>
      </c>
    </row>
    <row r="39" customFormat="false" ht="15" hidden="false" customHeight="true" outlineLevel="0" collapsed="false">
      <c r="A39" s="17" t="s">
        <v>226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14" t="s">
        <v>229</v>
      </c>
      <c r="B4" s="14" t="s">
        <v>230</v>
      </c>
      <c r="C4" s="14" t="s">
        <v>231</v>
      </c>
      <c r="D4" s="14" t="s">
        <v>232</v>
      </c>
      <c r="E4" s="14" t="s">
        <v>231</v>
      </c>
    </row>
    <row r="5" customFormat="false" ht="15" hidden="false" customHeight="false" outlineLevel="0" collapsed="false">
      <c r="A5" s="6" t="s">
        <v>233</v>
      </c>
      <c r="B5" s="19"/>
      <c r="C5" s="29"/>
      <c r="D5" s="19"/>
      <c r="E5" s="29"/>
    </row>
    <row r="6" customFormat="false" ht="15" hidden="false" customHeight="false" outlineLevel="0" collapsed="false">
      <c r="A6" s="6" t="s">
        <v>234</v>
      </c>
      <c r="B6" s="19"/>
      <c r="C6" s="29"/>
      <c r="D6" s="19"/>
      <c r="E6" s="29"/>
    </row>
    <row r="7" customFormat="false" ht="15" hidden="false" customHeight="false" outlineLevel="0" collapsed="false">
      <c r="A7" s="6" t="s">
        <v>235</v>
      </c>
      <c r="B7" s="19"/>
      <c r="C7" s="29"/>
      <c r="D7" s="19"/>
      <c r="E7" s="29"/>
    </row>
    <row r="8" customFormat="false" ht="15" hidden="false" customHeight="false" outlineLevel="0" collapsed="false">
      <c r="A8" s="6" t="s">
        <v>236</v>
      </c>
      <c r="B8" s="19"/>
      <c r="C8" s="29"/>
      <c r="D8" s="19"/>
      <c r="E8" s="29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15" hidden="false" customHeight="false" outlineLevel="0" collapsed="false">
      <c r="A4" s="6" t="s">
        <v>239</v>
      </c>
      <c r="B4" s="10"/>
    </row>
    <row r="5" customFormat="false" ht="15" hidden="false" customHeight="false" outlineLevel="0" collapsed="false">
      <c r="A5" s="6" t="s">
        <v>240</v>
      </c>
      <c r="B5" s="10"/>
    </row>
    <row r="6" customFormat="false" ht="15" hidden="false" customHeight="false" outlineLevel="0" collapsed="false">
      <c r="A6" s="6" t="s">
        <v>241</v>
      </c>
      <c r="B6" s="10"/>
    </row>
    <row r="7" customFormat="false" ht="15" hidden="false" customHeight="false" outlineLevel="0" collapsed="false">
      <c r="A7" s="6" t="s">
        <v>242</v>
      </c>
      <c r="B7" s="10"/>
    </row>
    <row r="8" customFormat="false" ht="15" hidden="false" customHeight="false" outlineLevel="0" collapsed="false">
      <c r="A8" s="6" t="s">
        <v>243</v>
      </c>
      <c r="B8" s="10"/>
    </row>
    <row r="9" customFormat="false" ht="15" hidden="false" customHeight="false" outlineLevel="0" collapsed="false">
      <c r="A9" s="6" t="s">
        <v>244</v>
      </c>
      <c r="B9" s="10"/>
    </row>
    <row r="10" customFormat="false" ht="15" hidden="false" customHeight="false" outlineLevel="0" collapsed="false">
      <c r="A10" s="6" t="s">
        <v>245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246</v>
      </c>
      <c r="E1" s="34" t="s">
        <v>23</v>
      </c>
      <c r="F1" s="34" t="s">
        <v>247</v>
      </c>
      <c r="H1" s="34" t="s">
        <v>248</v>
      </c>
      <c r="I1" s="34" t="s">
        <v>247</v>
      </c>
    </row>
    <row r="2" customFormat="false" ht="15" hidden="false" customHeight="false" outlineLevel="0" collapsed="false">
      <c r="A2" s="2" t="s">
        <v>249</v>
      </c>
      <c r="E2" s="34" t="s">
        <v>250</v>
      </c>
      <c r="F2" s="34" t="s">
        <v>251</v>
      </c>
      <c r="H2" s="34" t="s">
        <v>252</v>
      </c>
      <c r="I2" s="34" t="s">
        <v>253</v>
      </c>
    </row>
    <row r="3" customFormat="false" ht="15" hidden="false" customHeight="false" outlineLevel="0" collapsed="false">
      <c r="A3" s="35" t="s">
        <v>254</v>
      </c>
      <c r="B3" s="35" t="s">
        <v>255</v>
      </c>
      <c r="C3" s="35" t="s">
        <v>256</v>
      </c>
      <c r="E3" s="34" t="s">
        <v>257</v>
      </c>
      <c r="F3" s="34" t="s">
        <v>258</v>
      </c>
      <c r="H3" s="34" t="s">
        <v>259</v>
      </c>
      <c r="I3" s="34" t="s">
        <v>260</v>
      </c>
    </row>
    <row r="4" customFormat="false" ht="15" hidden="false" customHeight="false" outlineLevel="0" collapsed="false">
      <c r="A4" s="9" t="s">
        <v>261</v>
      </c>
      <c r="B4" s="21" t="s">
        <v>262</v>
      </c>
      <c r="C4" s="6" t="str">
        <f aca="false">"falcon-organizer-2026"</f>
        <v>falcon-organizer-2026</v>
      </c>
      <c r="E4" s="34" t="s">
        <v>263</v>
      </c>
      <c r="F4" s="34" t="s">
        <v>264</v>
      </c>
      <c r="H4" s="34" t="s">
        <v>265</v>
      </c>
      <c r="I4" s="34" t="s">
        <v>266</v>
      </c>
    </row>
    <row r="5" customFormat="false" ht="15" hidden="false" customHeight="false" outlineLevel="0" collapsed="false">
      <c r="A5" s="9" t="s">
        <v>267</v>
      </c>
      <c r="B5" s="21" t="s">
        <v>268</v>
      </c>
      <c r="C5" s="6" t="str">
        <f aca="false">IFERROR(INDEX($F$2:$F$5,MATCH(Household!B4,$E$2:$E$5,0)),"single")</f>
        <v>single</v>
      </c>
      <c r="E5" s="34" t="s">
        <v>269</v>
      </c>
      <c r="F5" s="34" t="s">
        <v>270</v>
      </c>
      <c r="H5" s="34" t="s">
        <v>271</v>
      </c>
      <c r="I5" s="34" t="s">
        <v>272</v>
      </c>
    </row>
    <row r="6" customFormat="false" ht="15" hidden="false" customHeight="false" outlineLevel="0" collapsed="false">
      <c r="A6" s="9" t="s">
        <v>273</v>
      </c>
      <c r="B6" s="21" t="s">
        <v>274</v>
      </c>
      <c r="C6" s="6" t="str">
        <f aca="false">IFERROR(INDEX($I$2:$I$52,MATCH(Household!B5,$H$2:$H$52,0)),"")</f>
        <v/>
      </c>
      <c r="H6" s="34" t="s">
        <v>275</v>
      </c>
      <c r="I6" s="34" t="s">
        <v>276</v>
      </c>
    </row>
    <row r="7" customFormat="false" ht="15" hidden="false" customHeight="false" outlineLevel="0" collapsed="false">
      <c r="A7" s="9" t="s">
        <v>277</v>
      </c>
      <c r="B7" s="21" t="s">
        <v>278</v>
      </c>
      <c r="C7" s="6" t="n">
        <f aca="false">IF(AND(ISNUMBER(Household!B6),Household!B6&gt;0,Household!B6&lt;=1961),1,0)</f>
        <v>0</v>
      </c>
      <c r="H7" s="34" t="s">
        <v>279</v>
      </c>
      <c r="I7" s="34" t="s">
        <v>280</v>
      </c>
    </row>
    <row r="8" customFormat="false" ht="15" hidden="false" customHeight="false" outlineLevel="0" collapsed="false">
      <c r="A8" s="9" t="s">
        <v>281</v>
      </c>
      <c r="B8" s="21" t="s">
        <v>282</v>
      </c>
      <c r="C8" s="6" t="n">
        <f aca="false">IF(AND(C5="mfj",ISNUMBER(Household!B7),Household!B7&gt;0,Household!B7&lt;=1961),1,0)</f>
        <v>0</v>
      </c>
      <c r="H8" s="34" t="s">
        <v>283</v>
      </c>
      <c r="I8" s="34" t="s">
        <v>284</v>
      </c>
    </row>
    <row r="9" customFormat="false" ht="15" hidden="false" customHeight="false" outlineLevel="0" collapsed="false">
      <c r="A9" s="9" t="s">
        <v>285</v>
      </c>
      <c r="B9" s="21" t="s">
        <v>286</v>
      </c>
      <c r="C9" s="6" t="n">
        <f aca="false">COUNTIFS(Household!A14:A23,"?*",Household!C14:C23,"&gt;=2010")</f>
        <v>0</v>
      </c>
      <c r="H9" s="34" t="s">
        <v>287</v>
      </c>
      <c r="I9" s="34" t="s">
        <v>288</v>
      </c>
    </row>
    <row r="10" customFormat="false" ht="15" hidden="false" customHeight="false" outlineLevel="0" collapsed="false">
      <c r="A10" s="9" t="s">
        <v>289</v>
      </c>
      <c r="B10" s="21" t="s">
        <v>290</v>
      </c>
      <c r="C10" s="6" t="n">
        <f aca="false">COUNTIF(Household!A14:A23,"?*")-C9</f>
        <v>0</v>
      </c>
      <c r="H10" s="34" t="s">
        <v>291</v>
      </c>
      <c r="I10" s="34" t="s">
        <v>292</v>
      </c>
    </row>
    <row r="11" customFormat="false" ht="15" hidden="false" customHeight="false" outlineLevel="0" collapsed="false">
      <c r="A11" s="9" t="s">
        <v>293</v>
      </c>
      <c r="B11" s="21" t="s">
        <v>294</v>
      </c>
      <c r="C11" s="6" t="str">
        <f aca="false">IF(C9+C10&gt;0,"yes","no")</f>
        <v>no</v>
      </c>
      <c r="H11" s="34" t="s">
        <v>295</v>
      </c>
      <c r="I11" s="34" t="s">
        <v>296</v>
      </c>
    </row>
    <row r="12" customFormat="false" ht="15" hidden="false" customHeight="false" outlineLevel="0" collapsed="false">
      <c r="A12" s="9" t="s">
        <v>297</v>
      </c>
      <c r="B12" s="21" t="s">
        <v>298</v>
      </c>
      <c r="C12" s="6" t="n">
        <f aca="false">IF(TRIM(Household!B8)="Yes",1,0)</f>
        <v>0</v>
      </c>
      <c r="H12" s="34" t="s">
        <v>299</v>
      </c>
      <c r="I12" s="34" t="s">
        <v>300</v>
      </c>
    </row>
    <row r="13" customFormat="false" ht="15" hidden="false" customHeight="false" outlineLevel="0" collapsed="false">
      <c r="A13" s="9" t="s">
        <v>301</v>
      </c>
      <c r="B13" s="21" t="s">
        <v>302</v>
      </c>
      <c r="C13" s="6" t="n">
        <f aca="false">Jobs!C16+Income!C24</f>
        <v>0</v>
      </c>
      <c r="H13" s="34" t="s">
        <v>303</v>
      </c>
      <c r="I13" s="34" t="s">
        <v>304</v>
      </c>
    </row>
    <row r="14" customFormat="false" ht="15" hidden="false" customHeight="false" outlineLevel="0" collapsed="false">
      <c r="A14" s="9" t="s">
        <v>305</v>
      </c>
      <c r="B14" s="21" t="s">
        <v>306</v>
      </c>
      <c r="C14" s="36" t="n">
        <f aca="false">Jobs!D16</f>
        <v>0</v>
      </c>
      <c r="H14" s="34" t="s">
        <v>307</v>
      </c>
      <c r="I14" s="34" t="s">
        <v>308</v>
      </c>
    </row>
    <row r="15" customFormat="false" ht="15" hidden="false" customHeight="false" outlineLevel="0" collapsed="false">
      <c r="A15" s="9" t="s">
        <v>309</v>
      </c>
      <c r="B15" s="21" t="s">
        <v>310</v>
      </c>
      <c r="C15" s="36" t="n">
        <f aca="false">Jobs!E16</f>
        <v>0</v>
      </c>
      <c r="H15" s="34" t="s">
        <v>311</v>
      </c>
      <c r="I15" s="34" t="s">
        <v>312</v>
      </c>
    </row>
    <row r="16" customFormat="false" ht="15" hidden="false" customHeight="false" outlineLevel="0" collapsed="false">
      <c r="A16" s="9" t="s">
        <v>313</v>
      </c>
      <c r="B16" s="21" t="s">
        <v>314</v>
      </c>
      <c r="C16" s="6" t="n">
        <f aca="false">Jobs!F16+Income!C24</f>
        <v>0</v>
      </c>
      <c r="H16" s="34" t="s">
        <v>315</v>
      </c>
      <c r="I16" s="34" t="s">
        <v>316</v>
      </c>
    </row>
    <row r="17" customFormat="false" ht="15" hidden="false" customHeight="false" outlineLevel="0" collapsed="false">
      <c r="A17" s="9" t="s">
        <v>317</v>
      </c>
      <c r="B17" s="21" t="s">
        <v>318</v>
      </c>
      <c r="C17" s="36" t="n">
        <f aca="false">Jobs!G16</f>
        <v>0</v>
      </c>
      <c r="H17" s="34" t="s">
        <v>319</v>
      </c>
      <c r="I17" s="34" t="s">
        <v>320</v>
      </c>
    </row>
    <row r="18" customFormat="false" ht="15" hidden="false" customHeight="false" outlineLevel="0" collapsed="false">
      <c r="A18" s="9" t="s">
        <v>321</v>
      </c>
      <c r="B18" s="21" t="s">
        <v>322</v>
      </c>
      <c r="C18" s="36" t="n">
        <f aca="false">Income!C19</f>
        <v>0</v>
      </c>
      <c r="H18" s="34" t="s">
        <v>323</v>
      </c>
      <c r="I18" s="34" t="s">
        <v>324</v>
      </c>
    </row>
    <row r="19" customFormat="false" ht="15" hidden="false" customHeight="false" outlineLevel="0" collapsed="false">
      <c r="A19" s="9" t="s">
        <v>325</v>
      </c>
      <c r="B19" s="21" t="s">
        <v>326</v>
      </c>
      <c r="C19" s="36" t="n">
        <f aca="false">Expenses!E85</f>
        <v>0</v>
      </c>
      <c r="H19" s="34" t="s">
        <v>327</v>
      </c>
      <c r="I19" s="34" t="s">
        <v>328</v>
      </c>
    </row>
    <row r="20" customFormat="false" ht="15" hidden="false" customHeight="false" outlineLevel="0" collapsed="false">
      <c r="A20" s="9" t="s">
        <v>329</v>
      </c>
      <c r="B20" s="21" t="s">
        <v>330</v>
      </c>
      <c r="C20" s="36" t="n">
        <f aca="false">Payments!B9</f>
        <v>0</v>
      </c>
      <c r="H20" s="34" t="s">
        <v>331</v>
      </c>
      <c r="I20" s="34" t="s">
        <v>332</v>
      </c>
    </row>
    <row r="21" customFormat="false" ht="15" hidden="false" customHeight="false" outlineLevel="0" collapsed="false">
      <c r="A21" s="9" t="s">
        <v>333</v>
      </c>
      <c r="B21" s="21" t="s">
        <v>334</v>
      </c>
      <c r="C21" s="36" t="n">
        <f aca="false">Payments!D9</f>
        <v>0</v>
      </c>
      <c r="H21" s="34" t="s">
        <v>335</v>
      </c>
      <c r="I21" s="34" t="s">
        <v>336</v>
      </c>
    </row>
    <row r="22" customFormat="false" ht="15" hidden="false" customHeight="false" outlineLevel="0" collapsed="false">
      <c r="A22" s="9" t="s">
        <v>337</v>
      </c>
      <c r="B22" s="21" t="s">
        <v>338</v>
      </c>
      <c r="C22" s="6" t="n">
        <f aca="false">IF(Trips!D36+Trips!E36&gt;0,1,0)</f>
        <v>0</v>
      </c>
      <c r="H22" s="34" t="s">
        <v>339</v>
      </c>
      <c r="I22" s="34" t="s">
        <v>340</v>
      </c>
    </row>
    <row r="23" customFormat="false" ht="15" hidden="false" customHeight="false" outlineLevel="0" collapsed="false">
      <c r="A23" s="9" t="s">
        <v>341</v>
      </c>
      <c r="B23" s="21" t="s">
        <v>342</v>
      </c>
      <c r="C23" s="6" t="n">
        <f aca="false">MIN(365,Trips!D36)</f>
        <v>0</v>
      </c>
      <c r="H23" s="34" t="s">
        <v>343</v>
      </c>
      <c r="I23" s="34" t="s">
        <v>344</v>
      </c>
    </row>
    <row r="24" customFormat="false" ht="15" hidden="false" customHeight="false" outlineLevel="0" collapsed="false">
      <c r="A24" s="9" t="s">
        <v>345</v>
      </c>
      <c r="B24" s="21" t="s">
        <v>346</v>
      </c>
      <c r="C24" s="6" t="n">
        <f aca="false">MIN(C23,SUMPRODUCT((Trips!C6:C35&lt;Trips!D6:D35)*Trips!C6:C35+(Trips!C6:C35&gt;=Trips!D6:D35)*Trips!D6:D35))</f>
        <v>0</v>
      </c>
      <c r="H24" s="34" t="s">
        <v>347</v>
      </c>
      <c r="I24" s="34" t="s">
        <v>348</v>
      </c>
    </row>
    <row r="25" customFormat="false" ht="15" hidden="false" customHeight="false" outlineLevel="0" collapsed="false">
      <c r="A25" s="9" t="s">
        <v>349</v>
      </c>
      <c r="B25" s="21" t="s">
        <v>220</v>
      </c>
      <c r="C25" s="37" t="n">
        <f aca="false">Trips!E36</f>
        <v>0</v>
      </c>
      <c r="H25" s="34" t="s">
        <v>350</v>
      </c>
      <c r="I25" s="34" t="s">
        <v>351</v>
      </c>
    </row>
    <row r="26" customFormat="false" ht="15" hidden="false" customHeight="false" outlineLevel="0" collapsed="false">
      <c r="A26" s="9" t="s">
        <v>352</v>
      </c>
      <c r="B26" s="21" t="s">
        <v>353</v>
      </c>
      <c r="C26" s="6" t="n">
        <f aca="false">IF(N(Car!B5)+N(Car!B6)+N(Car!B18)&gt;0,1,0)</f>
        <v>0</v>
      </c>
      <c r="H26" s="34" t="s">
        <v>354</v>
      </c>
      <c r="I26" s="34" t="s">
        <v>355</v>
      </c>
    </row>
    <row r="27" customFormat="false" ht="15" hidden="false" customHeight="false" outlineLevel="0" collapsed="false">
      <c r="A27" s="9" t="s">
        <v>356</v>
      </c>
      <c r="B27" s="21" t="s">
        <v>357</v>
      </c>
      <c r="C27" s="6" t="n">
        <f aca="false">N(Car!B5)</f>
        <v>0</v>
      </c>
      <c r="H27" s="34" t="s">
        <v>358</v>
      </c>
      <c r="I27" s="34" t="s">
        <v>359</v>
      </c>
    </row>
    <row r="28" customFormat="false" ht="15" hidden="false" customHeight="false" outlineLevel="0" collapsed="false">
      <c r="A28" s="9" t="s">
        <v>360</v>
      </c>
      <c r="B28" s="21" t="s">
        <v>361</v>
      </c>
      <c r="C28" s="6" t="n">
        <f aca="false">N(Car!B6)</f>
        <v>0</v>
      </c>
      <c r="H28" s="34" t="s">
        <v>362</v>
      </c>
      <c r="I28" s="34" t="s">
        <v>363</v>
      </c>
    </row>
    <row r="29" customFormat="false" ht="15" hidden="false" customHeight="false" outlineLevel="0" collapsed="false">
      <c r="A29" s="9" t="s">
        <v>364</v>
      </c>
      <c r="B29" s="21" t="s">
        <v>365</v>
      </c>
      <c r="C29" s="6" t="n">
        <f aca="false">N(Car!B7)</f>
        <v>0</v>
      </c>
      <c r="H29" s="34" t="s">
        <v>366</v>
      </c>
      <c r="I29" s="34" t="s">
        <v>367</v>
      </c>
    </row>
    <row r="30" customFormat="false" ht="15" hidden="false" customHeight="false" outlineLevel="0" collapsed="false">
      <c r="A30" s="9" t="s">
        <v>368</v>
      </c>
      <c r="B30" s="21" t="s">
        <v>369</v>
      </c>
      <c r="C30" s="6" t="n">
        <f aca="false">N(Car!B18)</f>
        <v>0</v>
      </c>
      <c r="H30" s="34" t="s">
        <v>370</v>
      </c>
      <c r="I30" s="34" t="s">
        <v>371</v>
      </c>
    </row>
    <row r="31" customFormat="false" ht="15" hidden="false" customHeight="false" outlineLevel="0" collapsed="false">
      <c r="A31" s="9" t="s">
        <v>372</v>
      </c>
      <c r="B31" s="21" t="s">
        <v>70</v>
      </c>
      <c r="C31" s="36" t="n">
        <f aca="false">Income!C25</f>
        <v>0</v>
      </c>
      <c r="H31" s="34" t="s">
        <v>373</v>
      </c>
      <c r="I31" s="34" t="s">
        <v>374</v>
      </c>
    </row>
    <row r="32" customFormat="false" ht="15" hidden="false" customHeight="false" outlineLevel="0" collapsed="false">
      <c r="A32" s="9" t="s">
        <v>375</v>
      </c>
      <c r="B32" s="21" t="s">
        <v>376</v>
      </c>
      <c r="C32" s="36" t="n">
        <f aca="false">Income!C26</f>
        <v>0</v>
      </c>
      <c r="H32" s="34" t="s">
        <v>377</v>
      </c>
      <c r="I32" s="34" t="s">
        <v>378</v>
      </c>
    </row>
    <row r="33" customFormat="false" ht="15" hidden="false" customHeight="false" outlineLevel="0" collapsed="false">
      <c r="A33" s="9" t="s">
        <v>379</v>
      </c>
      <c r="B33" s="21" t="s">
        <v>380</v>
      </c>
      <c r="C33" s="6" t="n">
        <f aca="false">Income!C27+Income!C28</f>
        <v>0</v>
      </c>
      <c r="H33" s="34" t="s">
        <v>381</v>
      </c>
      <c r="I33" s="34" t="s">
        <v>382</v>
      </c>
    </row>
    <row r="34" customFormat="false" ht="15" hidden="false" customHeight="false" outlineLevel="0" collapsed="false">
      <c r="A34" s="9" t="s">
        <v>383</v>
      </c>
      <c r="B34" s="21" t="s">
        <v>384</v>
      </c>
      <c r="C34" s="6" t="n">
        <f aca="false">IF(Income!C27&gt;0,1,0)</f>
        <v>0</v>
      </c>
      <c r="H34" s="34" t="s">
        <v>385</v>
      </c>
      <c r="I34" s="34" t="s">
        <v>386</v>
      </c>
    </row>
    <row r="35" customFormat="false" ht="15" hidden="false" customHeight="false" outlineLevel="0" collapsed="false">
      <c r="A35" s="9" t="s">
        <v>387</v>
      </c>
      <c r="B35" s="21" t="s">
        <v>239</v>
      </c>
      <c r="C35" s="6" t="n">
        <f aca="false">IF(TRIM(Checklist!B4)="Yes",1,0)</f>
        <v>0</v>
      </c>
      <c r="H35" s="34" t="s">
        <v>388</v>
      </c>
      <c r="I35" s="34" t="s">
        <v>389</v>
      </c>
    </row>
    <row r="36" customFormat="false" ht="15" hidden="false" customHeight="false" outlineLevel="0" collapsed="false">
      <c r="A36" s="9" t="s">
        <v>390</v>
      </c>
      <c r="B36" s="21" t="s">
        <v>240</v>
      </c>
      <c r="C36" s="6" t="n">
        <f aca="false">IF(TRIM(Checklist!B5)="Yes",1,0)</f>
        <v>0</v>
      </c>
      <c r="H36" s="34" t="s">
        <v>391</v>
      </c>
      <c r="I36" s="34" t="s">
        <v>392</v>
      </c>
    </row>
    <row r="37" customFormat="false" ht="15" hidden="false" customHeight="false" outlineLevel="0" collapsed="false">
      <c r="A37" s="9" t="s">
        <v>393</v>
      </c>
      <c r="B37" s="21" t="s">
        <v>241</v>
      </c>
      <c r="C37" s="6" t="n">
        <f aca="false">IF(TRIM(Checklist!B6)="Yes",1,0)</f>
        <v>0</v>
      </c>
      <c r="H37" s="34" t="s">
        <v>394</v>
      </c>
      <c r="I37" s="34" t="s">
        <v>395</v>
      </c>
    </row>
    <row r="38" customFormat="false" ht="15" hidden="false" customHeight="false" outlineLevel="0" collapsed="false">
      <c r="A38" s="9" t="s">
        <v>396</v>
      </c>
      <c r="B38" s="21" t="s">
        <v>242</v>
      </c>
      <c r="C38" s="6" t="n">
        <f aca="false">IF(TRIM(Checklist!B7)="Yes",1,0)</f>
        <v>0</v>
      </c>
      <c r="H38" s="34" t="s">
        <v>397</v>
      </c>
      <c r="I38" s="34" t="s">
        <v>398</v>
      </c>
    </row>
    <row r="39" customFormat="false" ht="15" hidden="false" customHeight="false" outlineLevel="0" collapsed="false">
      <c r="A39" s="9" t="s">
        <v>399</v>
      </c>
      <c r="B39" s="21" t="s">
        <v>243</v>
      </c>
      <c r="C39" s="6" t="n">
        <f aca="false">IF(TRIM(Checklist!B8)="Yes",1,0)</f>
        <v>0</v>
      </c>
      <c r="H39" s="34" t="s">
        <v>400</v>
      </c>
      <c r="I39" s="34" t="s">
        <v>401</v>
      </c>
    </row>
    <row r="40" customFormat="false" ht="15" hidden="false" customHeight="false" outlineLevel="0" collapsed="false">
      <c r="A40" s="9" t="s">
        <v>402</v>
      </c>
      <c r="B40" s="21" t="s">
        <v>244</v>
      </c>
      <c r="C40" s="6" t="n">
        <f aca="false">IF(TRIM(Checklist!B9)="Yes",1,0)</f>
        <v>0</v>
      </c>
      <c r="H40" s="34" t="s">
        <v>403</v>
      </c>
      <c r="I40" s="34" t="s">
        <v>404</v>
      </c>
    </row>
    <row r="41" customFormat="false" ht="15" hidden="false" customHeight="false" outlineLevel="0" collapsed="false">
      <c r="A41" s="9" t="s">
        <v>405</v>
      </c>
      <c r="B41" s="21" t="s">
        <v>245</v>
      </c>
      <c r="C41" s="6" t="n">
        <f aca="false">IF(TRIM(Checklist!B10)="Yes",1,0)</f>
        <v>0</v>
      </c>
      <c r="H41" s="34" t="s">
        <v>406</v>
      </c>
      <c r="I41" s="34" t="s">
        <v>407</v>
      </c>
    </row>
    <row r="42" customFormat="false" ht="15" hidden="false" customHeight="false" outlineLevel="0" collapsed="false">
      <c r="H42" s="0" t="s">
        <v>408</v>
      </c>
      <c r="I42" s="0" t="s">
        <v>409</v>
      </c>
    </row>
    <row r="43" customFormat="false" ht="15" hidden="false" customHeight="false" outlineLevel="0" collapsed="false">
      <c r="H43" s="0" t="s">
        <v>410</v>
      </c>
      <c r="I43" s="0" t="s">
        <v>411</v>
      </c>
    </row>
    <row r="44" customFormat="false" ht="15" hidden="false" customHeight="false" outlineLevel="0" collapsed="false">
      <c r="H44" s="0" t="s">
        <v>412</v>
      </c>
      <c r="I44" s="0" t="s">
        <v>413</v>
      </c>
    </row>
    <row r="45" customFormat="false" ht="15" hidden="false" customHeight="false" outlineLevel="0" collapsed="false">
      <c r="H45" s="0" t="s">
        <v>414</v>
      </c>
      <c r="I45" s="0" t="s">
        <v>415</v>
      </c>
    </row>
    <row r="46" customFormat="false" ht="15" hidden="false" customHeight="false" outlineLevel="0" collapsed="false">
      <c r="H46" s="0" t="s">
        <v>416</v>
      </c>
      <c r="I46" s="0" t="s">
        <v>417</v>
      </c>
    </row>
    <row r="47" customFormat="false" ht="15" hidden="false" customHeight="false" outlineLevel="0" collapsed="false">
      <c r="H47" s="0" t="s">
        <v>418</v>
      </c>
      <c r="I47" s="0" t="s">
        <v>419</v>
      </c>
    </row>
    <row r="48" customFormat="false" ht="15" hidden="false" customHeight="false" outlineLevel="0" collapsed="false">
      <c r="H48" s="0" t="s">
        <v>420</v>
      </c>
      <c r="I48" s="0" t="s">
        <v>421</v>
      </c>
    </row>
    <row r="49" customFormat="false" ht="15" hidden="false" customHeight="false" outlineLevel="0" collapsed="false">
      <c r="H49" s="0" t="s">
        <v>422</v>
      </c>
      <c r="I49" s="0" t="s">
        <v>423</v>
      </c>
    </row>
    <row r="50" customFormat="false" ht="15" hidden="false" customHeight="false" outlineLevel="0" collapsed="false">
      <c r="H50" s="0" t="s">
        <v>424</v>
      </c>
      <c r="I50" s="0" t="s">
        <v>425</v>
      </c>
    </row>
    <row r="51" customFormat="false" ht="15" hidden="false" customHeight="false" outlineLevel="0" collapsed="false">
      <c r="H51" s="0" t="s">
        <v>426</v>
      </c>
      <c r="I51" s="0" t="s">
        <v>427</v>
      </c>
    </row>
    <row r="52" customFormat="false" ht="15" hidden="false" customHeight="false" outlineLevel="0" collapsed="false">
      <c r="H52" s="0" t="s">
        <v>428</v>
      </c>
      <c r="I52" s="0" t="s">
        <v>429</v>
      </c>
    </row>
    <row r="59" customFormat="false" ht="15" hidden="false" customHeight="false" outlineLevel="0" collapsed="false">
      <c r="A59" s="38" t="s">
        <v>430</v>
      </c>
    </row>
    <row r="60" customFormat="false" ht="15" hidden="false" customHeight="false" outlineLevel="0" collapsed="false">
      <c r="B60" s="6" t="s">
        <v>431</v>
      </c>
      <c r="C60" s="39" t="n">
        <v>80</v>
      </c>
    </row>
    <row r="61" customFormat="false" ht="15" hidden="false" customHeight="false" outlineLevel="0" collapsed="false">
      <c r="B61" s="6" t="s">
        <v>432</v>
      </c>
      <c r="C61" s="39" t="n">
        <v>86</v>
      </c>
    </row>
    <row r="62" customFormat="false" ht="15" hidden="false" customHeight="false" outlineLevel="0" collapsed="false">
      <c r="B62" s="6" t="s">
        <v>433</v>
      </c>
      <c r="C62" s="40" t="n">
        <v>0.75</v>
      </c>
    </row>
    <row r="63" customFormat="false" ht="15" hidden="false" customHeight="false" outlineLevel="0" collapsed="false">
      <c r="B63" s="6" t="s">
        <v>434</v>
      </c>
      <c r="C63" s="40" t="n">
        <v>0.8</v>
      </c>
    </row>
    <row r="65" customFormat="false" ht="15" hidden="false" customHeight="false" outlineLevel="0" collapsed="false">
      <c r="A65" s="38" t="s">
        <v>435</v>
      </c>
    </row>
    <row r="66" customFormat="false" ht="15" hidden="false" customHeight="false" outlineLevel="0" collapsed="false">
      <c r="B66" s="6" t="s">
        <v>436</v>
      </c>
      <c r="C66" s="41" t="n">
        <v>0.725</v>
      </c>
    </row>
    <row r="67" customFormat="false" ht="15" hidden="false" customHeight="false" outlineLevel="0" collapsed="false">
      <c r="B67" s="6" t="s">
        <v>437</v>
      </c>
      <c r="C67" s="41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2026-10-13T04:38:45Z</dcterms:created>
  <dc:creator>openpyxl</dc:creator>
  <dc:description/>
  <dc:language>en-US</dc:language>
  <cp:lastModifiedBy/>
  <dcterms:modified xsi:type="dcterms:W3CDTF">2026-10-13T04:38:45Z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