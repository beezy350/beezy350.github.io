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Household" sheetId="2" state="visible" r:id="rId4"/>
    <sheet name="Jobs" sheetId="3" state="visible" r:id="rId5"/>
    <sheet name="Income" sheetId="4" state="visible" r:id="rId6"/>
    <sheet name="Expenses" sheetId="5" state="visible" r:id="rId7"/>
    <sheet name="Trips" sheetId="6" state="visible" r:id="rId8"/>
    <sheet name="Payments" sheetId="7" state="visible" r:id="rId9"/>
    <sheet name="Checklist" sheetId="8" state="visible" r:id="rId10"/>
    <sheet name="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0" authorId="0">
      <text>
        <r>
          <rPr>
            <sz val="10"/>
            <rFont val="Arial"/>
            <family val="2"/>
          </rPr>
          <t xml:space="preserve">Source: IRS Notice 2026-60, special M&amp;IE rate for the transportation industry, Oct 1, 2026 - Sep 30, 2027 (same as prior year).</t>
        </r>
      </text>
    </comment>
  </commentList>
</comments>
</file>

<file path=xl/sharedStrings.xml><?xml version="1.0" encoding="utf-8"?>
<sst xmlns="http://schemas.openxmlformats.org/spreadsheetml/2006/main" count="459" uniqueCount="391">
  <si>
    <t xml:space="preserve">Falcon Tax Solutions · 2026 Tax Organizer</t>
  </si>
  <si>
    <t xml:space="preserve">Fill this out at home, then upload it to get your estimate.</t>
  </si>
  <si>
    <t xml:space="preserve">How it works</t>
  </si>
  <si>
    <t xml:space="preserve">1. Fill in the YELLOW cells on each tab, left to right: Household, Jobs, Income, Expenses, Trips, Payments, Checklist.</t>
  </si>
  <si>
    <t xml:space="preserve">2. Grey rows show an example of what to enter. Leave them as they are.</t>
  </si>
  <si>
    <t xml:space="preserve">3. Skip any tab that doesn't apply to you. Blank cells count as zero.</t>
  </si>
  <si>
    <t xml:space="preserve">4. Save the file (Excel: .xlsx; Google Sheets: File &gt; Download &gt; Microsoft Excel).</t>
  </si>
  <si>
    <t xml:space="preserve">5. Upload it on our Refund Estimator page. You'll see your estimated federal and state refund or amount due right away.</t>
  </si>
  <si>
    <t xml:space="preserve">Privacy</t>
  </si>
  <si>
    <t xml:space="preserve">Do NOT enter Social Security numbers, bank account numbers or passwords in this file.</t>
  </si>
  <si>
    <t xml:space="preserve">When you upload it, the file is read on your own device and is not sent to us. We collect IDs and documents only through our secure portal.</t>
  </si>
  <si>
    <t xml:space="preserve">Good to know</t>
  </si>
  <si>
    <t xml:space="preserve">This is an estimate for the 2026 tax year (returns filed in 2027), not a filed return or a promise of any refund.</t>
  </si>
  <si>
    <t xml:space="preserve">Married filing jointly: include both spouses' income. Married filing separately: include only your own.</t>
  </si>
  <si>
    <t xml:space="preserve">Truck drivers away from home overnight: list each trip on the Trips tab for the per diem deduction ($80/day, IRS Notice 2026-60).</t>
  </si>
  <si>
    <t xml:space="preserve">Questions? Book a free consultation on our website.</t>
  </si>
  <si>
    <t xml:space="preserve">Color key</t>
  </si>
  <si>
    <t xml:space="preserve">Yellow: you fill this in</t>
  </si>
  <si>
    <t xml:space="preserve">Grey: example only</t>
  </si>
  <si>
    <t xml:space="preserve">Blue: calculated for you</t>
  </si>
  <si>
    <t xml:space="preserve">Household</t>
  </si>
  <si>
    <t xml:space="preserve">Filing status, state, and the people on your return.</t>
  </si>
  <si>
    <t xml:space="preserve">Filing status</t>
  </si>
  <si>
    <t xml:space="preserve">Choose from the list.</t>
  </si>
  <si>
    <t xml:space="preserve">State you lived in during 2026</t>
  </si>
  <si>
    <t xml:space="preserve">Your birth year</t>
  </si>
  <si>
    <t xml:space="preserve">Example: 1985</t>
  </si>
  <si>
    <t xml:space="preserve">Spouse's birth year</t>
  </si>
  <si>
    <t xml:space="preserve">Married filing jointly only.</t>
  </si>
  <si>
    <t xml:space="preserve">Did you pay for childcare so you could work?</t>
  </si>
  <si>
    <t xml:space="preserve">Yes or No</t>
  </si>
  <si>
    <t xml:space="preserve">Dependents (children and relatives you support)</t>
  </si>
  <si>
    <t xml:space="preserve">First name</t>
  </si>
  <si>
    <t xml:space="preserve">Relationship</t>
  </si>
  <si>
    <t xml:space="preserve">Birth year</t>
  </si>
  <si>
    <t xml:space="preserve">Months lived with you</t>
  </si>
  <si>
    <t xml:space="preserve">Has an SSN? (Yes/No)</t>
  </si>
  <si>
    <t xml:space="preserve">Example: Maya</t>
  </si>
  <si>
    <t xml:space="preserve">Daughter</t>
  </si>
  <si>
    <t xml:space="preserve">Yes</t>
  </si>
  <si>
    <t xml:space="preserve">Children under 17 at the end of 2026 were born in 2010 or later. Leave this table empty if you have no dependents.</t>
  </si>
  <si>
    <t xml:space="preserve">Jobs (W-2 paychecks)</t>
  </si>
  <si>
    <t xml:space="preserve">One row per W-2. Use the final pay stub of the year if you don't have the W-2 yet.</t>
  </si>
  <si>
    <t xml:space="preserve">Employer</t>
  </si>
  <si>
    <t xml:space="preserve">Whose job (You / Spouse)</t>
  </si>
  <si>
    <t xml:space="preserve">Wages (W-2 box 1)</t>
  </si>
  <si>
    <t xml:space="preserve">Federal tax withheld (box 2)</t>
  </si>
  <si>
    <t xml:space="preserve">State tax withheld (box 17)</t>
  </si>
  <si>
    <t xml:space="preserve">Tips on W-2 (box 7)</t>
  </si>
  <si>
    <t xml:space="preserve">Overtime premium (extra half only)</t>
  </si>
  <si>
    <t xml:space="preserve">Example: ABC Logistics</t>
  </si>
  <si>
    <t xml:space="preserve">You</t>
  </si>
  <si>
    <t xml:space="preserve">Total</t>
  </si>
  <si>
    <t xml:space="preserve">Overtime premium: only the extra 'half' of time-and-a-half (up to $12,500, or $25,000 joint, may be deductible). Cash tips you did NOT report to your employer go on the Income tab.</t>
  </si>
  <si>
    <t xml:space="preserve">Self-employment, cash &amp; other income</t>
  </si>
  <si>
    <t xml:space="preserve">Business income, cash payments, and income not on a W-2.</t>
  </si>
  <si>
    <t xml:space="preserve">Self-employment &amp; cash income (1099-NEC, 1099-K, cash, Zelle, checks)</t>
  </si>
  <si>
    <t xml:space="preserve">Payer or description</t>
  </si>
  <si>
    <t xml:space="preserve">Type</t>
  </si>
  <si>
    <t xml:space="preserve">Amount received</t>
  </si>
  <si>
    <t xml:space="preserve">Example: Uber (1099-K)</t>
  </si>
  <si>
    <t xml:space="preserve">1099-K</t>
  </si>
  <si>
    <t xml:space="preserve">Total self-employment income</t>
  </si>
  <si>
    <t xml:space="preserve">Report all business income, including cash and app payments, even if you didn't get a 1099.</t>
  </si>
  <si>
    <t xml:space="preserve">Other income</t>
  </si>
  <si>
    <t xml:space="preserve">Form</t>
  </si>
  <si>
    <t xml:space="preserve">Amount</t>
  </si>
  <si>
    <t xml:space="preserve">Cash tips NOT reported to your employer</t>
  </si>
  <si>
    <t xml:space="preserve">Tip log</t>
  </si>
  <si>
    <t xml:space="preserve">Bank interest</t>
  </si>
  <si>
    <t xml:space="preserve">1099-INT</t>
  </si>
  <si>
    <t xml:space="preserve">Unemployment benefits</t>
  </si>
  <si>
    <t xml:space="preserve">1099-G</t>
  </si>
  <si>
    <t xml:space="preserve">Retirement withdrawals (taxable amount)</t>
  </si>
  <si>
    <t xml:space="preserve">1099-R</t>
  </si>
  <si>
    <t xml:space="preserve">Other taxable income (prizes, rental profit, etc.)</t>
  </si>
  <si>
    <t xml:space="preserve">Business expenses</t>
  </si>
  <si>
    <t xml:space="preserve">Self-employed only. Enter what you paid in 2026; the deductible amount is calculated.</t>
  </si>
  <si>
    <t xml:space="preserve">Expense</t>
  </si>
  <si>
    <t xml:space="preserve">Schedule C line</t>
  </si>
  <si>
    <t xml:space="preserve">Amount paid</t>
  </si>
  <si>
    <t xml:space="preserve">Deductible share</t>
  </si>
  <si>
    <t xml:space="preserve">Deductible amount</t>
  </si>
  <si>
    <t xml:space="preserve">Notes</t>
  </si>
  <si>
    <t xml:space="preserve">Example: Fuel (diesel)</t>
  </si>
  <si>
    <t xml:space="preserve">9</t>
  </si>
  <si>
    <t xml:space="preserve">GENERAL BUSINESS</t>
  </si>
  <si>
    <t xml:space="preserve">Advertising &amp; marketing</t>
  </si>
  <si>
    <t xml:space="preserve">8</t>
  </si>
  <si>
    <t xml:space="preserve">Car &amp; truck (non-trucking business vehicle)</t>
  </si>
  <si>
    <t xml:space="preserve">Business-use share only; keep a mileage log.</t>
  </si>
  <si>
    <t xml:space="preserve">Bank, payment &amp; platform fees</t>
  </si>
  <si>
    <t xml:space="preserve">10</t>
  </si>
  <si>
    <t xml:space="preserve">Contract labor (1099 workers)</t>
  </si>
  <si>
    <t xml:space="preserve">11</t>
  </si>
  <si>
    <t xml:space="preserve">Send 1099-NEC to anyone paid $2,000+ in 2026.</t>
  </si>
  <si>
    <t xml:space="preserve">Business insurance</t>
  </si>
  <si>
    <t xml:space="preserve">15</t>
  </si>
  <si>
    <t xml:space="preserve">Interest on business loans</t>
  </si>
  <si>
    <t xml:space="preserve">16b</t>
  </si>
  <si>
    <t xml:space="preserve">Legal &amp; professional fees</t>
  </si>
  <si>
    <t xml:space="preserve">17</t>
  </si>
  <si>
    <t xml:space="preserve">Office expense &amp; supplies</t>
  </si>
  <si>
    <t xml:space="preserve">18</t>
  </si>
  <si>
    <t xml:space="preserve">Rent (office, equipment)</t>
  </si>
  <si>
    <t xml:space="preserve">20b</t>
  </si>
  <si>
    <t xml:space="preserve">Taxes &amp; licenses</t>
  </si>
  <si>
    <t xml:space="preserve">23</t>
  </si>
  <si>
    <t xml:space="preserve">Travel (overnight trips)</t>
  </si>
  <si>
    <t xml:space="preserve">24a</t>
  </si>
  <si>
    <t xml:space="preserve">Business meals (enter full amount)</t>
  </si>
  <si>
    <t xml:space="preserve">24b</t>
  </si>
  <si>
    <t xml:space="preserve">Only 50% is deductible. Truck drivers: use the Trips tab instead.</t>
  </si>
  <si>
    <t xml:space="preserve">Phone &amp; internet (business share)</t>
  </si>
  <si>
    <t xml:space="preserve">25</t>
  </si>
  <si>
    <t xml:space="preserve">Business-use percentage only.</t>
  </si>
  <si>
    <t xml:space="preserve">Software &amp; subscriptions</t>
  </si>
  <si>
    <t xml:space="preserve">27a</t>
  </si>
  <si>
    <t xml:space="preserve">Materials &amp; supplies used for jobs</t>
  </si>
  <si>
    <t xml:space="preserve">22</t>
  </si>
  <si>
    <t xml:space="preserve">Parts and materials you buy for customers' jobs.</t>
  </si>
  <si>
    <t xml:space="preserve">Tools &amp; equipment (under $2,500 each)</t>
  </si>
  <si>
    <t xml:space="preserve">Larger items may need depreciation.</t>
  </si>
  <si>
    <t xml:space="preserve">Equipment rental</t>
  </si>
  <si>
    <t xml:space="preserve">20a</t>
  </si>
  <si>
    <t xml:space="preserve">Repairs (business equipment, non-vehicle)</t>
  </si>
  <si>
    <t xml:space="preserve">21</t>
  </si>
  <si>
    <t xml:space="preserve">Uniforms &amp; safety gear</t>
  </si>
  <si>
    <t xml:space="preserve">Only clothing not suitable for everyday wear.</t>
  </si>
  <si>
    <t xml:space="preserve">Postage &amp; shipping</t>
  </si>
  <si>
    <t xml:space="preserve">Utilities (business location)</t>
  </si>
  <si>
    <t xml:space="preserve">Training, courses &amp; licenses for your trade</t>
  </si>
  <si>
    <t xml:space="preserve">Business gifts (up to $25 per person)</t>
  </si>
  <si>
    <t xml:space="preserve">Home office (we calculate the deductible part)</t>
  </si>
  <si>
    <t xml:space="preserve">30</t>
  </si>
  <si>
    <t xml:space="preserve">Enter total rent/utilities for the home; we figure the business share (Form 8829).</t>
  </si>
  <si>
    <t xml:space="preserve">TRUCKING</t>
  </si>
  <si>
    <t xml:space="preserve">Fuel (diesel)</t>
  </si>
  <si>
    <t xml:space="preserve">DEF fluid</t>
  </si>
  <si>
    <t xml:space="preserve">IFTA fuel tax paid</t>
  </si>
  <si>
    <t xml:space="preserve">IFTA license &amp; decals</t>
  </si>
  <si>
    <t xml:space="preserve">Form 2290 heavy vehicle use tax</t>
  </si>
  <si>
    <t xml:space="preserve">IRP plates &amp; registration</t>
  </si>
  <si>
    <t xml:space="preserve">UCR registration</t>
  </si>
  <si>
    <t xml:space="preserve">Permits (trip, fuel, oversize/overweight)</t>
  </si>
  <si>
    <t xml:space="preserve">State road taxes (NY HUT, KYU, NM WDT, OR)</t>
  </si>
  <si>
    <t xml:space="preserve">Truck insurance (liability, cargo, physical damage)</t>
  </si>
  <si>
    <t xml:space="preserve">Truck or trailer lease / rent</t>
  </si>
  <si>
    <t xml:space="preserve">Truck loan interest</t>
  </si>
  <si>
    <t xml:space="preserve">Tolls, scales &amp; parking</t>
  </si>
  <si>
    <t xml:space="preserve">Load boards (DAT, Truckstop, 123Loadboard)</t>
  </si>
  <si>
    <t xml:space="preserve">ELD subscription</t>
  </si>
  <si>
    <t xml:space="preserve">Dispatch &amp; factoring fees</t>
  </si>
  <si>
    <t xml:space="preserve">Driver wages (W-2)</t>
  </si>
  <si>
    <t xml:space="preserve">26</t>
  </si>
  <si>
    <t xml:space="preserve">Contract drivers (1099)</t>
  </si>
  <si>
    <t xml:space="preserve">Lumper fees</t>
  </si>
  <si>
    <t xml:space="preserve">Drug tests, DOT physicals &amp; compliance</t>
  </si>
  <si>
    <t xml:space="preserve">Electronics (tablet, dash cam, GPS, ELD device)</t>
  </si>
  <si>
    <t xml:space="preserve">Items over $2,500 each may need depreciation.</t>
  </si>
  <si>
    <t xml:space="preserve">Software purchase, one-time</t>
  </si>
  <si>
    <t xml:space="preserve">REPAIRS &amp; MAINTENANCE (itemize)</t>
  </si>
  <si>
    <t xml:space="preserve">Preventive maintenance (PM) service</t>
  </si>
  <si>
    <t xml:space="preserve">Oil &amp; filter change</t>
  </si>
  <si>
    <t xml:space="preserve">Tires (new or retread)</t>
  </si>
  <si>
    <t xml:space="preserve">Tire repair &amp; alignment</t>
  </si>
  <si>
    <t xml:space="preserve">Brakes</t>
  </si>
  <si>
    <t xml:space="preserve">Engine repair</t>
  </si>
  <si>
    <t xml:space="preserve">Transmission &amp; clutch</t>
  </si>
  <si>
    <t xml:space="preserve">DPF / emissions system</t>
  </si>
  <si>
    <t xml:space="preserve">Electrical &amp; batteries</t>
  </si>
  <si>
    <t xml:space="preserve">Suspension, steering &amp; air bags</t>
  </si>
  <si>
    <t xml:space="preserve">A/C, heating &amp; APU</t>
  </si>
  <si>
    <t xml:space="preserve">Reefer unit service</t>
  </si>
  <si>
    <t xml:space="preserve">Trailer repair</t>
  </si>
  <si>
    <t xml:space="preserve">Body work, glass &amp; paint</t>
  </si>
  <si>
    <t xml:space="preserve">DOT annual inspection</t>
  </si>
  <si>
    <t xml:space="preserve">Roadside service &amp; towing</t>
  </si>
  <si>
    <t xml:space="preserve">Truck wash</t>
  </si>
  <si>
    <t xml:space="preserve">Parts &amp; shop labor (other)</t>
  </si>
  <si>
    <t xml:space="preserve">OTHER EXPENSES (describe)</t>
  </si>
  <si>
    <t xml:space="preserve">Total deductible business expenses</t>
  </si>
  <si>
    <t xml:space="preserve">Equipment, electronics or software over $2,500 per item may need to be depreciated instead of fully expensed; we'll handle that on your return.</t>
  </si>
  <si>
    <t xml:space="preserve">Truck driver trips (per diem)</t>
  </si>
  <si>
    <t xml:space="preserve">Self-employed drivers away from home overnight. One row per trip.</t>
  </si>
  <si>
    <t xml:space="preserve">Left home (date)</t>
  </si>
  <si>
    <t xml:space="preserve">Got back (date)</t>
  </si>
  <si>
    <t xml:space="preserve">Full days in Canada</t>
  </si>
  <si>
    <t xml:space="preserve">Full days away</t>
  </si>
  <si>
    <t xml:space="preserve">Travel days (75%)</t>
  </si>
  <si>
    <t xml:space="preserve">Per diem</t>
  </si>
  <si>
    <t xml:space="preserve">2026-03-02</t>
  </si>
  <si>
    <t xml:space="preserve">2026-03-09</t>
  </si>
  <si>
    <t xml:space="preserve">Deductible (80%)</t>
  </si>
  <si>
    <t xml:space="preserve">IRS transportation per diem (Notice 2026-60): $80/day in the U.S., $86 in Canada. The day you leave and the day you return count at 75%. Drivers under DOT hours-of-service rules deduct 80%. Employee (W-2) drivers can't deduct this on their federal return. Keep your logbook or ELD records.</t>
  </si>
  <si>
    <t xml:space="preserve">Estimated tax payments</t>
  </si>
  <si>
    <t xml:space="preserve">Quarterly payments you sent to the IRS or your state for 2026.</t>
  </si>
  <si>
    <t xml:space="preserve">Quarter</t>
  </si>
  <si>
    <t xml:space="preserve">Federal paid</t>
  </si>
  <si>
    <t xml:space="preserve">Date paid</t>
  </si>
  <si>
    <t xml:space="preserve">State paid</t>
  </si>
  <si>
    <t xml:space="preserve">Q1 (due Apr 15, 2026)</t>
  </si>
  <si>
    <t xml:space="preserve">Q2 (due Jun 15, 2026)</t>
  </si>
  <si>
    <t xml:space="preserve">Q3 (due Sep 15, 2026)</t>
  </si>
  <si>
    <t xml:space="preserve">Q4 (due Jan 15, 2027)</t>
  </si>
  <si>
    <t xml:space="preserve">Checklist</t>
  </si>
  <si>
    <t xml:space="preserve">Answer Yes or No. These help us find credits and documents.</t>
  </si>
  <si>
    <t xml:space="preserve">Did you sell stocks or crypto, or receive dividends?</t>
  </si>
  <si>
    <t xml:space="preserve">Did you pay mortgage interest on your home?</t>
  </si>
  <si>
    <t xml:space="preserve">Did you pay student loan interest?</t>
  </si>
  <si>
    <t xml:space="preserve">Did you pay college tuition for yourself or a dependent?</t>
  </si>
  <si>
    <t xml:space="preserve">Did anyone on your return have Marketplace health insurance (Form 1095-A)?</t>
  </si>
  <si>
    <t xml:space="preserve">Does anyone on the return NOT have a Social Security number?</t>
  </si>
  <si>
    <t xml:space="preserve">Did you receive a letter from the IRS or the state?</t>
  </si>
  <si>
    <t xml:space="preserve">Data for the estimator</t>
  </si>
  <si>
    <t xml:space="preserve">Code</t>
  </si>
  <si>
    <t xml:space="preserve">State</t>
  </si>
  <si>
    <t xml:space="preserve">Calculated from your answers. Please don't change this tab.</t>
  </si>
  <si>
    <t xml:space="preserve">Single</t>
  </si>
  <si>
    <t xml:space="preserve">single</t>
  </si>
  <si>
    <t xml:space="preserve">Alabama</t>
  </si>
  <si>
    <t xml:space="preserve">AL</t>
  </si>
  <si>
    <t xml:space="preserve">Key</t>
  </si>
  <si>
    <t xml:space="preserve">Meaning</t>
  </si>
  <si>
    <t xml:space="preserve">Value</t>
  </si>
  <si>
    <t xml:space="preserve">Married filing jointly</t>
  </si>
  <si>
    <t xml:space="preserve">mfj</t>
  </si>
  <si>
    <t xml:space="preserve">Alaska</t>
  </si>
  <si>
    <t xml:space="preserve">AK</t>
  </si>
  <si>
    <t xml:space="preserve">format</t>
  </si>
  <si>
    <t xml:space="preserve">Organizer version</t>
  </si>
  <si>
    <t xml:space="preserve">Married filing separately</t>
  </si>
  <si>
    <t xml:space="preserve">mfs</t>
  </si>
  <si>
    <t xml:space="preserve">Arizona</t>
  </si>
  <si>
    <t xml:space="preserve">AZ</t>
  </si>
  <si>
    <t xml:space="preserve">status</t>
  </si>
  <si>
    <t xml:space="preserve">Filing status code</t>
  </si>
  <si>
    <t xml:space="preserve">Head of household</t>
  </si>
  <si>
    <t xml:space="preserve">hoh</t>
  </si>
  <si>
    <t xml:space="preserve">Arkansas</t>
  </si>
  <si>
    <t xml:space="preserve">AR</t>
  </si>
  <si>
    <t xml:space="preserve">state</t>
  </si>
  <si>
    <t xml:space="preserve">State code</t>
  </si>
  <si>
    <t xml:space="preserve">California</t>
  </si>
  <si>
    <t xml:space="preserve">CA</t>
  </si>
  <si>
    <t xml:space="preserve">you65</t>
  </si>
  <si>
    <t xml:space="preserve">You are 65 or older (born 1961 or earlier)</t>
  </si>
  <si>
    <t xml:space="preserve">Colorado</t>
  </si>
  <si>
    <t xml:space="preserve">CO</t>
  </si>
  <si>
    <t xml:space="preserve">spouse65</t>
  </si>
  <si>
    <t xml:space="preserve">Spouse is 65 or older (joint returns)</t>
  </si>
  <si>
    <t xml:space="preserve">Connecticut</t>
  </si>
  <si>
    <t xml:space="preserve">CT</t>
  </si>
  <si>
    <t xml:space="preserve">childrenUnder17</t>
  </si>
  <si>
    <t xml:space="preserve">Children under 17 (born 2010 or later)</t>
  </si>
  <si>
    <t xml:space="preserve">Delaware</t>
  </si>
  <si>
    <t xml:space="preserve">DE</t>
  </si>
  <si>
    <t xml:space="preserve">otherDependents</t>
  </si>
  <si>
    <t xml:space="preserve">Other dependents</t>
  </si>
  <si>
    <t xml:space="preserve">District of Columbia</t>
  </si>
  <si>
    <t xml:space="preserve">DC</t>
  </si>
  <si>
    <t xml:space="preserve">hasDeps</t>
  </si>
  <si>
    <t xml:space="preserve">Has dependents</t>
  </si>
  <si>
    <t xml:space="preserve">Florida</t>
  </si>
  <si>
    <t xml:space="preserve">FL</t>
  </si>
  <si>
    <t xml:space="preserve">childcare</t>
  </si>
  <si>
    <t xml:space="preserve">Paid childcare</t>
  </si>
  <si>
    <t xml:space="preserve">Georgia</t>
  </si>
  <si>
    <t xml:space="preserve">GA</t>
  </si>
  <si>
    <t xml:space="preserve">wages</t>
  </si>
  <si>
    <t xml:space="preserve">W-2 wages plus unreported cash tips</t>
  </si>
  <si>
    <t xml:space="preserve">Hawaii</t>
  </si>
  <si>
    <t xml:space="preserve">HI</t>
  </si>
  <si>
    <t xml:space="preserve">withheld</t>
  </si>
  <si>
    <t xml:space="preserve">Federal tax withheld</t>
  </si>
  <si>
    <t xml:space="preserve">Idaho</t>
  </si>
  <si>
    <t xml:space="preserve">ID</t>
  </si>
  <si>
    <t xml:space="preserve">stateWithheld</t>
  </si>
  <si>
    <t xml:space="preserve">State tax withheld</t>
  </si>
  <si>
    <t xml:space="preserve">Illinois</t>
  </si>
  <si>
    <t xml:space="preserve">IL</t>
  </si>
  <si>
    <t xml:space="preserve">tips</t>
  </si>
  <si>
    <t xml:space="preserve">Tips (W-2 and cash)</t>
  </si>
  <si>
    <t xml:space="preserve">Indiana</t>
  </si>
  <si>
    <t xml:space="preserve">IN</t>
  </si>
  <si>
    <t xml:space="preserve">overtimePremium</t>
  </si>
  <si>
    <t xml:space="preserve">Overtime premium</t>
  </si>
  <si>
    <t xml:space="preserve">Iowa</t>
  </si>
  <si>
    <t xml:space="preserve">IA</t>
  </si>
  <si>
    <t xml:space="preserve">seIncome</t>
  </si>
  <si>
    <t xml:space="preserve">Self-employment income</t>
  </si>
  <si>
    <t xml:space="preserve">Kansas</t>
  </si>
  <si>
    <t xml:space="preserve">KS</t>
  </si>
  <si>
    <t xml:space="preserve">seExpenses</t>
  </si>
  <si>
    <t xml:space="preserve">Deductible business expenses</t>
  </si>
  <si>
    <t xml:space="preserve">Kentucky</t>
  </si>
  <si>
    <t xml:space="preserve">KY</t>
  </si>
  <si>
    <t xml:space="preserve">estimatedPayments</t>
  </si>
  <si>
    <t xml:space="preserve">Federal estimated payments</t>
  </si>
  <si>
    <t xml:space="preserve">Louisiana</t>
  </si>
  <si>
    <t xml:space="preserve">LA</t>
  </si>
  <si>
    <t xml:space="preserve">stateEstimated</t>
  </si>
  <si>
    <t xml:space="preserve">State estimated payments</t>
  </si>
  <si>
    <t xml:space="preserve">Maine</t>
  </si>
  <si>
    <t xml:space="preserve">ME</t>
  </si>
  <si>
    <t xml:space="preserve">isTrucker</t>
  </si>
  <si>
    <t xml:space="preserve">Logged truck driver trips</t>
  </si>
  <si>
    <t xml:space="preserve">Maryland</t>
  </si>
  <si>
    <t xml:space="preserve">MD</t>
  </si>
  <si>
    <t xml:space="preserve">perDiemFull</t>
  </si>
  <si>
    <t xml:space="preserve">Full days away (Canada days converted to $80 days)</t>
  </si>
  <si>
    <t xml:space="preserve">Massachusetts</t>
  </si>
  <si>
    <t xml:space="preserve">MA</t>
  </si>
  <si>
    <t xml:space="preserve">perDiemPartial</t>
  </si>
  <si>
    <t xml:space="preserve">Michigan</t>
  </si>
  <si>
    <t xml:space="preserve">MI</t>
  </si>
  <si>
    <t xml:space="preserve">interest</t>
  </si>
  <si>
    <t xml:space="preserve">Minnesota</t>
  </si>
  <si>
    <t xml:space="preserve">MN</t>
  </si>
  <si>
    <t xml:space="preserve">unemployment</t>
  </si>
  <si>
    <t xml:space="preserve">Unemployment</t>
  </si>
  <si>
    <t xml:space="preserve">Mississippi</t>
  </si>
  <si>
    <t xml:space="preserve">MS</t>
  </si>
  <si>
    <t xml:space="preserve">otherIncome</t>
  </si>
  <si>
    <t xml:space="preserve">Retirement withdrawals and other income</t>
  </si>
  <si>
    <t xml:space="preserve">Missouri</t>
  </si>
  <si>
    <t xml:space="preserve">MO</t>
  </si>
  <si>
    <t xml:space="preserve">retirement</t>
  </si>
  <si>
    <t xml:space="preserve">Has retirement withdrawals</t>
  </si>
  <si>
    <t xml:space="preserve">Montana</t>
  </si>
  <si>
    <t xml:space="preserve">MT</t>
  </si>
  <si>
    <t xml:space="preserve">hasInvestments</t>
  </si>
  <si>
    <t xml:space="preserve">Nebraska</t>
  </si>
  <si>
    <t xml:space="preserve">NE</t>
  </si>
  <si>
    <t xml:space="preserve">mortgage</t>
  </si>
  <si>
    <t xml:space="preserve">Nevada</t>
  </si>
  <si>
    <t xml:space="preserve">NV</t>
  </si>
  <si>
    <t xml:space="preserve">studentLoan</t>
  </si>
  <si>
    <t xml:space="preserve">New Hampshire</t>
  </si>
  <si>
    <t xml:space="preserve">NH</t>
  </si>
  <si>
    <t xml:space="preserve">college</t>
  </si>
  <si>
    <t xml:space="preserve">New Jersey</t>
  </si>
  <si>
    <t xml:space="preserve">NJ</t>
  </si>
  <si>
    <t xml:space="preserve">marketplace</t>
  </si>
  <si>
    <t xml:space="preserve">New Mexico</t>
  </si>
  <si>
    <t xml:space="preserve">NM</t>
  </si>
  <si>
    <t xml:space="preserve">noSsn</t>
  </si>
  <si>
    <t xml:space="preserve">New York</t>
  </si>
  <si>
    <t xml:space="preserve">NY</t>
  </si>
  <si>
    <t xml:space="preserve">irsLetter</t>
  </si>
  <si>
    <t xml:space="preserve">North Carolina</t>
  </si>
  <si>
    <t xml:space="preserve">NC</t>
  </si>
  <si>
    <t xml:space="preserve">North Dakota</t>
  </si>
  <si>
    <t xml:space="preserve">ND</t>
  </si>
  <si>
    <t xml:space="preserve">Ohio</t>
  </si>
  <si>
    <t xml:space="preserve">OH</t>
  </si>
  <si>
    <t xml:space="preserve">Oklahoma</t>
  </si>
  <si>
    <t xml:space="preserve">OK</t>
  </si>
  <si>
    <t xml:space="preserve">Per diem rates (IRS Notice 2026-60)</t>
  </si>
  <si>
    <t xml:space="preserve">Oregon</t>
  </si>
  <si>
    <t xml:space="preserve">OR</t>
  </si>
  <si>
    <t xml:space="preserve">U.S. daily rate</t>
  </si>
  <si>
    <t xml:space="preserve">Pennsylvania</t>
  </si>
  <si>
    <t xml:space="preserve">PA</t>
  </si>
  <si>
    <t xml:space="preserve">Canada daily rate</t>
  </si>
  <si>
    <t xml:space="preserve">Rhode Island</t>
  </si>
  <si>
    <t xml:space="preserve">RI</t>
  </si>
  <si>
    <t xml:space="preserve">Travel day share</t>
  </si>
  <si>
    <t xml:space="preserve">South Carolina</t>
  </si>
  <si>
    <t xml:space="preserve">SC</t>
  </si>
  <si>
    <t xml:space="preserve">Deductible share (DOT hours)</t>
  </si>
  <si>
    <t xml:space="preserve">South Dakota</t>
  </si>
  <si>
    <t xml:space="preserve">SD</t>
  </si>
  <si>
    <t xml:space="preserve">Tennessee</t>
  </si>
  <si>
    <t xml:space="preserve">TN</t>
  </si>
  <si>
    <t xml:space="preserve">Texas</t>
  </si>
  <si>
    <t xml:space="preserve">TX</t>
  </si>
  <si>
    <t xml:space="preserve">Utah</t>
  </si>
  <si>
    <t xml:space="preserve">UT</t>
  </si>
  <si>
    <t xml:space="preserve">Vermont</t>
  </si>
  <si>
    <t xml:space="preserve">VT</t>
  </si>
  <si>
    <t xml:space="preserve">Virginia</t>
  </si>
  <si>
    <t xml:space="preserve">VA</t>
  </si>
  <si>
    <t xml:space="preserve">Washington</t>
  </si>
  <si>
    <t xml:space="preserve">WA</t>
  </si>
  <si>
    <t xml:space="preserve">West Virginia</t>
  </si>
  <si>
    <t xml:space="preserve">WV</t>
  </si>
  <si>
    <t xml:space="preserve">Wisconsin</t>
  </si>
  <si>
    <t xml:space="preserve">WI</t>
  </si>
  <si>
    <t xml:space="preserve">Wyoming</t>
  </si>
  <si>
    <t xml:space="preserve">WY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</si>
</sst>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.00;&quot;($&quot;#,##0.00\);\-"/>
    <numFmt numFmtId="167" formatCode="0%"/>
    <numFmt numFmtId="168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3557"/>
      <name val="Arial"/>
      <family val="0"/>
      <charset val="1"/>
    </font>
    <font>
      <i val="true"/>
      <sz val="10"/>
      <color rgb="FF5A6475"/>
      <name val="Arial"/>
      <family val="0"/>
      <charset val="1"/>
    </font>
    <font>
      <b val="true"/>
      <sz val="12"/>
      <color rgb="FF1D3557"/>
      <name val="Arial"/>
      <family val="0"/>
      <charset val="1"/>
    </font>
    <font>
      <sz val="10"/>
      <color rgb="FF1B223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A64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sz val="10"/>
      <color rgb="FF5A6475"/>
      <name val="Arial"/>
      <family val="0"/>
      <charset val="1"/>
    </font>
    <font>
      <b val="true"/>
      <sz val="10"/>
      <color rgb="FFC8963E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F2F2F2"/>
      </patternFill>
    </fill>
    <fill>
      <patternFill patternType="solid">
        <fgColor rgb="FFF2F2F2"/>
        <bgColor rgb="FFE7EEF6"/>
      </patternFill>
    </fill>
    <fill>
      <patternFill patternType="solid">
        <fgColor rgb="FFE7EEF6"/>
        <bgColor rgb="FFF2F2F2"/>
      </patternFill>
    </fill>
    <fill>
      <patternFill patternType="solid">
        <fgColor rgb="FF1D3557"/>
        <bgColor rgb="FF1B223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4CC"/>
      <rgbColor rgb="FFE7EEF6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3E"/>
      <rgbColor rgb="FFFF6600"/>
      <rgbColor rgb="FF5A6475"/>
      <rgbColor rgb="FF969696"/>
      <rgbColor rgb="FF1D3557"/>
      <rgbColor rgb="FF339966"/>
      <rgbColor rgb="FF003300"/>
      <rgbColor rgb="FF333300"/>
      <rgbColor rgb="FF993300"/>
      <rgbColor rgb="FF993366"/>
      <rgbColor rgb="FF333399"/>
      <rgbColor rgb="FF1B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23.8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4" t="s">
        <v>9</v>
      </c>
    </row>
    <row r="13" customFormat="false" ht="23.8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23.8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A22" s="5"/>
      <c r="B22" s="6" t="s">
        <v>17</v>
      </c>
    </row>
    <row r="23" customFormat="false" ht="15" hidden="false" customHeight="false" outlineLevel="0" collapsed="false">
      <c r="A23" s="7"/>
      <c r="B23" s="6" t="s">
        <v>18</v>
      </c>
    </row>
    <row r="24" customFormat="false" ht="15" hidden="false" customHeight="false" outlineLevel="0" collapsed="false">
      <c r="A24" s="8"/>
      <c r="B24" s="6" t="s">
        <v>19</v>
      </c>
    </row>
  </sheetData>
  <sheetProtection sheet="true" formatColumns="false" formatRows="false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8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9" t="s">
        <v>22</v>
      </c>
      <c r="B4" s="10"/>
      <c r="C4" s="11" t="s">
        <v>23</v>
      </c>
    </row>
    <row r="5" customFormat="false" ht="15" hidden="false" customHeight="false" outlineLevel="0" collapsed="false">
      <c r="A5" s="9" t="s">
        <v>24</v>
      </c>
      <c r="B5" s="10"/>
      <c r="C5" s="11" t="s">
        <v>23</v>
      </c>
    </row>
    <row r="6" customFormat="false" ht="15" hidden="false" customHeight="false" outlineLevel="0" collapsed="false">
      <c r="A6" s="9" t="s">
        <v>25</v>
      </c>
      <c r="B6" s="12"/>
      <c r="C6" s="11" t="s">
        <v>26</v>
      </c>
    </row>
    <row r="7" customFormat="false" ht="15" hidden="false" customHeight="false" outlineLevel="0" collapsed="false">
      <c r="A7" s="9" t="s">
        <v>27</v>
      </c>
      <c r="B7" s="12"/>
      <c r="C7" s="11" t="s">
        <v>28</v>
      </c>
    </row>
    <row r="8" customFormat="false" ht="15" hidden="false" customHeight="false" outlineLevel="0" collapsed="false">
      <c r="A8" s="9" t="s">
        <v>29</v>
      </c>
      <c r="B8" s="10"/>
      <c r="C8" s="11" t="s">
        <v>30</v>
      </c>
    </row>
    <row r="11" customFormat="false" ht="15" hidden="false" customHeight="false" outlineLevel="0" collapsed="false">
      <c r="A11" s="13" t="s">
        <v>31</v>
      </c>
    </row>
    <row r="12" customFormat="false" ht="23.85" hidden="false" customHeight="false" outlineLevel="0" collapsed="false">
      <c r="A12" s="14" t="s">
        <v>32</v>
      </c>
      <c r="B12" s="14" t="s">
        <v>33</v>
      </c>
      <c r="C12" s="14" t="s">
        <v>34</v>
      </c>
      <c r="D12" s="14" t="s">
        <v>35</v>
      </c>
      <c r="E12" s="14" t="s">
        <v>36</v>
      </c>
    </row>
    <row r="13" customFormat="false" ht="15" hidden="false" customHeight="false" outlineLevel="0" collapsed="false">
      <c r="A13" s="15" t="s">
        <v>37</v>
      </c>
      <c r="B13" s="15" t="s">
        <v>38</v>
      </c>
      <c r="C13" s="16" t="n">
        <v>2016</v>
      </c>
      <c r="D13" s="15" t="n">
        <v>12</v>
      </c>
      <c r="E13" s="15" t="s">
        <v>39</v>
      </c>
    </row>
    <row r="14" customFormat="false" ht="15" hidden="false" customHeight="false" outlineLevel="0" collapsed="false">
      <c r="A14" s="10"/>
      <c r="B14" s="10"/>
      <c r="C14" s="12"/>
      <c r="D14" s="10"/>
      <c r="E14" s="10"/>
    </row>
    <row r="15" customFormat="false" ht="15" hidden="false" customHeight="false" outlineLevel="0" collapsed="false">
      <c r="A15" s="10"/>
      <c r="B15" s="10"/>
      <c r="C15" s="12"/>
      <c r="D15" s="10"/>
      <c r="E15" s="10"/>
    </row>
    <row r="16" customFormat="false" ht="15" hidden="false" customHeight="false" outlineLevel="0" collapsed="false">
      <c r="A16" s="10"/>
      <c r="B16" s="10"/>
      <c r="C16" s="12"/>
      <c r="D16" s="10"/>
      <c r="E16" s="10"/>
    </row>
    <row r="17" customFormat="false" ht="15" hidden="false" customHeight="false" outlineLevel="0" collapsed="false">
      <c r="A17" s="10"/>
      <c r="B17" s="10"/>
      <c r="C17" s="12"/>
      <c r="D17" s="10"/>
      <c r="E17" s="10"/>
    </row>
    <row r="18" customFormat="false" ht="15" hidden="false" customHeight="false" outlineLevel="0" collapsed="false">
      <c r="A18" s="10"/>
      <c r="B18" s="10"/>
      <c r="C18" s="12"/>
      <c r="D18" s="10"/>
      <c r="E18" s="10"/>
    </row>
    <row r="19" customFormat="false" ht="15" hidden="false" customHeight="false" outlineLevel="0" collapsed="false">
      <c r="A19" s="10"/>
      <c r="B19" s="10"/>
      <c r="C19" s="12"/>
      <c r="D19" s="10"/>
      <c r="E19" s="10"/>
    </row>
    <row r="20" customFormat="false" ht="15" hidden="false" customHeight="false" outlineLevel="0" collapsed="false">
      <c r="A20" s="10"/>
      <c r="B20" s="10"/>
      <c r="C20" s="12"/>
      <c r="D20" s="10"/>
      <c r="E20" s="10"/>
    </row>
    <row r="21" customFormat="false" ht="15" hidden="false" customHeight="false" outlineLevel="0" collapsed="false">
      <c r="A21" s="10"/>
      <c r="B21" s="10"/>
      <c r="C21" s="12"/>
      <c r="D21" s="10"/>
      <c r="E21" s="10"/>
    </row>
    <row r="22" customFormat="false" ht="15" hidden="false" customHeight="false" outlineLevel="0" collapsed="false">
      <c r="A22" s="10"/>
      <c r="B22" s="10"/>
      <c r="C22" s="12"/>
      <c r="D22" s="10"/>
      <c r="E22" s="10"/>
    </row>
    <row r="23" customFormat="false" ht="15" hidden="false" customHeight="false" outlineLevel="0" collapsed="false">
      <c r="A23" s="10"/>
      <c r="B23" s="10"/>
      <c r="C23" s="12"/>
      <c r="D23" s="10"/>
      <c r="E23" s="10"/>
    </row>
    <row r="25" customFormat="false" ht="15" hidden="false" customHeight="true" outlineLevel="0" collapsed="false">
      <c r="A25" s="17" t="s">
        <v>40</v>
      </c>
      <c r="B25" s="17"/>
      <c r="C25" s="17"/>
      <c r="D25" s="17"/>
      <c r="E25" s="17"/>
    </row>
    <row r="26" customFormat="false" ht="15" hidden="false" customHeight="false" outlineLevel="0" collapsed="false">
      <c r="A26" s="17"/>
      <c r="B26" s="17"/>
      <c r="C26" s="17"/>
      <c r="D26" s="17"/>
      <c r="E26" s="17"/>
    </row>
  </sheetData>
  <sheetProtection sheet="true" formatColumns="false" formatRows="false"/>
  <mergeCells count="1">
    <mergeCell ref="A25:E26"/>
  </mergeCells>
  <dataValidations count="4">
    <dataValidation allowBlank="true" errorStyle="stop" operator="between" showDropDown="false" showErrorMessage="false" showInputMessage="false" sqref="B4" type="list">
      <formula1>"Single,Married filing jointly,Married filing separately,Head of household"</formula1>
      <formula2>0</formula2>
    </dataValidation>
    <dataValidation allowBlank="true" errorStyle="stop" operator="between" showDropDown="false" showErrorMessage="false" showInputMessage="false" sqref="B5" type="list">
      <formula1>Data!$H$2:$H$52</formula1>
      <formula2>0</formula2>
    </dataValidation>
    <dataValidation allowBlank="true" errorStyle="stop" operator="between" showDropDown="false" showErrorMessage="false" showInputMessage="false" sqref="B8" type="list">
      <formula1>"Yes,No"</formula1>
      <formula2>0</formula2>
    </dataValidation>
    <dataValidation allowBlank="true" errorStyle="stop" operator="between" showDropDown="false" showErrorMessage="false" showInputMessage="false" sqref="E14:E23" type="list">
      <formula1>"Yes,No"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42" hidden="false" customHeight="true" outlineLevel="0" collapsed="false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</row>
    <row r="5" customFormat="false" ht="15" hidden="false" customHeight="false" outlineLevel="0" collapsed="false">
      <c r="A5" s="15" t="s">
        <v>50</v>
      </c>
      <c r="B5" s="15" t="s">
        <v>51</v>
      </c>
      <c r="C5" s="18" t="n">
        <v>52000</v>
      </c>
      <c r="D5" s="18" t="n">
        <v>5200</v>
      </c>
      <c r="E5" s="18" t="n">
        <v>2400</v>
      </c>
      <c r="F5" s="18" t="n">
        <v>0</v>
      </c>
      <c r="G5" s="18" t="n">
        <v>1500</v>
      </c>
    </row>
    <row r="6" customFormat="false" ht="15" hidden="false" customHeight="false" outlineLevel="0" collapsed="false">
      <c r="A6" s="10"/>
      <c r="B6" s="10"/>
      <c r="C6" s="19"/>
      <c r="D6" s="19"/>
      <c r="E6" s="19"/>
      <c r="F6" s="19"/>
      <c r="G6" s="19"/>
    </row>
    <row r="7" customFormat="false" ht="15" hidden="false" customHeight="false" outlineLevel="0" collapsed="false">
      <c r="A7" s="10"/>
      <c r="B7" s="10"/>
      <c r="C7" s="19"/>
      <c r="D7" s="19"/>
      <c r="E7" s="19"/>
      <c r="F7" s="19"/>
      <c r="G7" s="19"/>
    </row>
    <row r="8" customFormat="false" ht="15" hidden="false" customHeight="false" outlineLevel="0" collapsed="false">
      <c r="A8" s="10"/>
      <c r="B8" s="10"/>
      <c r="C8" s="19"/>
      <c r="D8" s="19"/>
      <c r="E8" s="19"/>
      <c r="F8" s="19"/>
      <c r="G8" s="19"/>
    </row>
    <row r="9" customFormat="false" ht="15" hidden="false" customHeight="false" outlineLevel="0" collapsed="false">
      <c r="A9" s="10"/>
      <c r="B9" s="10"/>
      <c r="C9" s="19"/>
      <c r="D9" s="19"/>
      <c r="E9" s="19"/>
      <c r="F9" s="19"/>
      <c r="G9" s="19"/>
    </row>
    <row r="10" customFormat="false" ht="15" hidden="false" customHeight="false" outlineLevel="0" collapsed="false">
      <c r="A10" s="10"/>
      <c r="B10" s="10"/>
      <c r="C10" s="19"/>
      <c r="D10" s="19"/>
      <c r="E10" s="19"/>
      <c r="F10" s="19"/>
      <c r="G10" s="19"/>
    </row>
    <row r="11" customFormat="false" ht="15" hidden="false" customHeight="false" outlineLevel="0" collapsed="false">
      <c r="A11" s="10"/>
      <c r="B11" s="10"/>
      <c r="C11" s="19"/>
      <c r="D11" s="19"/>
      <c r="E11" s="19"/>
      <c r="F11" s="19"/>
      <c r="G11" s="19"/>
    </row>
    <row r="12" customFormat="false" ht="15" hidden="false" customHeight="false" outlineLevel="0" collapsed="false">
      <c r="A12" s="10"/>
      <c r="B12" s="10"/>
      <c r="C12" s="19"/>
      <c r="D12" s="19"/>
      <c r="E12" s="19"/>
      <c r="F12" s="19"/>
      <c r="G12" s="19"/>
    </row>
    <row r="13" customFormat="false" ht="15" hidden="false" customHeight="false" outlineLevel="0" collapsed="false">
      <c r="A13" s="10"/>
      <c r="B13" s="10"/>
      <c r="C13" s="19"/>
      <c r="D13" s="19"/>
      <c r="E13" s="19"/>
      <c r="F13" s="19"/>
      <c r="G13" s="19"/>
    </row>
    <row r="14" customFormat="false" ht="15" hidden="false" customHeight="false" outlineLevel="0" collapsed="false">
      <c r="A14" s="10"/>
      <c r="B14" s="10"/>
      <c r="C14" s="19"/>
      <c r="D14" s="19"/>
      <c r="E14" s="19"/>
      <c r="F14" s="19"/>
      <c r="G14" s="19"/>
    </row>
    <row r="15" customFormat="false" ht="15" hidden="false" customHeight="false" outlineLevel="0" collapsed="false">
      <c r="A15" s="10"/>
      <c r="B15" s="10"/>
      <c r="C15" s="19"/>
      <c r="D15" s="19"/>
      <c r="E15" s="19"/>
      <c r="F15" s="19"/>
      <c r="G15" s="19"/>
    </row>
    <row r="16" customFormat="false" ht="15" hidden="false" customHeight="false" outlineLevel="0" collapsed="false">
      <c r="A16" s="9" t="s">
        <v>52</v>
      </c>
      <c r="C16" s="20" t="n">
        <f aca="false">SUM(C6:C15)</f>
        <v>0</v>
      </c>
      <c r="D16" s="20" t="n">
        <f aca="false">SUM(D6:D15)</f>
        <v>0</v>
      </c>
      <c r="E16" s="20" t="n">
        <f aca="false">SUM(E6:E15)</f>
        <v>0</v>
      </c>
      <c r="F16" s="20" t="n">
        <f aca="false">SUM(F6:F15)</f>
        <v>0</v>
      </c>
      <c r="G16" s="20" t="n">
        <f aca="false">SUM(G6:G15)</f>
        <v>0</v>
      </c>
    </row>
    <row r="18" customFormat="false" ht="15" hidden="false" customHeight="true" outlineLevel="0" collapsed="false">
      <c r="A18" s="17" t="s">
        <v>53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</row>
  </sheetData>
  <sheetProtection sheet="true" formatColumns="false" formatRows="false"/>
  <mergeCells count="1">
    <mergeCell ref="A18:G19"/>
  </mergeCells>
  <dataValidations count="1">
    <dataValidation allowBlank="true" errorStyle="stop" operator="between" showDropDown="false" showErrorMessage="false" showInputMessage="false" sqref="B6:B15" type="list">
      <formula1>"You,Spouse"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3" t="s">
        <v>56</v>
      </c>
    </row>
    <row r="5" customFormat="false" ht="15" hidden="false" customHeight="false" outlineLevel="0" collapsed="false">
      <c r="A5" s="14" t="s">
        <v>57</v>
      </c>
      <c r="B5" s="14" t="s">
        <v>58</v>
      </c>
      <c r="C5" s="14" t="s">
        <v>59</v>
      </c>
    </row>
    <row r="6" customFormat="false" ht="15" hidden="false" customHeight="false" outlineLevel="0" collapsed="false">
      <c r="A6" s="15" t="s">
        <v>60</v>
      </c>
      <c r="B6" s="15" t="s">
        <v>61</v>
      </c>
      <c r="C6" s="18" t="n">
        <v>38000</v>
      </c>
    </row>
    <row r="7" customFormat="false" ht="15" hidden="false" customHeight="false" outlineLevel="0" collapsed="false">
      <c r="A7" s="10"/>
      <c r="B7" s="10"/>
      <c r="C7" s="19"/>
    </row>
    <row r="8" customFormat="false" ht="15" hidden="false" customHeight="false" outlineLevel="0" collapsed="false">
      <c r="A8" s="10"/>
      <c r="B8" s="10"/>
      <c r="C8" s="19"/>
    </row>
    <row r="9" customFormat="false" ht="15" hidden="false" customHeight="false" outlineLevel="0" collapsed="false">
      <c r="A9" s="10"/>
      <c r="B9" s="10"/>
      <c r="C9" s="19"/>
    </row>
    <row r="10" customFormat="false" ht="15" hidden="false" customHeight="false" outlineLevel="0" collapsed="false">
      <c r="A10" s="10"/>
      <c r="B10" s="10"/>
      <c r="C10" s="19"/>
    </row>
    <row r="11" customFormat="false" ht="15" hidden="false" customHeight="false" outlineLevel="0" collapsed="false">
      <c r="A11" s="10"/>
      <c r="B11" s="10"/>
      <c r="C11" s="19"/>
    </row>
    <row r="12" customFormat="false" ht="15" hidden="false" customHeight="false" outlineLevel="0" collapsed="false">
      <c r="A12" s="10"/>
      <c r="B12" s="10"/>
      <c r="C12" s="19"/>
    </row>
    <row r="13" customFormat="false" ht="15" hidden="false" customHeight="false" outlineLevel="0" collapsed="false">
      <c r="A13" s="10"/>
      <c r="B13" s="10"/>
      <c r="C13" s="19"/>
    </row>
    <row r="14" customFormat="false" ht="15" hidden="false" customHeight="false" outlineLevel="0" collapsed="false">
      <c r="A14" s="10"/>
      <c r="B14" s="10"/>
      <c r="C14" s="19"/>
    </row>
    <row r="15" customFormat="false" ht="15" hidden="false" customHeight="false" outlineLevel="0" collapsed="false">
      <c r="A15" s="10"/>
      <c r="B15" s="10"/>
      <c r="C15" s="19"/>
    </row>
    <row r="16" customFormat="false" ht="15" hidden="false" customHeight="false" outlineLevel="0" collapsed="false">
      <c r="A16" s="10"/>
      <c r="B16" s="10"/>
      <c r="C16" s="19"/>
    </row>
    <row r="17" customFormat="false" ht="15" hidden="false" customHeight="false" outlineLevel="0" collapsed="false">
      <c r="A17" s="10"/>
      <c r="B17" s="10"/>
      <c r="C17" s="19"/>
    </row>
    <row r="18" customFormat="false" ht="15" hidden="false" customHeight="false" outlineLevel="0" collapsed="false">
      <c r="A18" s="10"/>
      <c r="B18" s="10"/>
      <c r="C18" s="19"/>
    </row>
    <row r="19" customFormat="false" ht="15" hidden="false" customHeight="false" outlineLevel="0" collapsed="false">
      <c r="A19" s="9" t="s">
        <v>62</v>
      </c>
      <c r="C19" s="20" t="n">
        <f aca="false">SUM(C7:C18)</f>
        <v>0</v>
      </c>
    </row>
    <row r="20" customFormat="false" ht="22.35" hidden="false" customHeight="false" outlineLevel="0" collapsed="false">
      <c r="A20" s="11" t="s">
        <v>63</v>
      </c>
    </row>
    <row r="22" customFormat="false" ht="15" hidden="false" customHeight="false" outlineLevel="0" collapsed="false">
      <c r="A22" s="13" t="s">
        <v>64</v>
      </c>
    </row>
    <row r="23" customFormat="false" ht="15" hidden="false" customHeight="false" outlineLevel="0" collapsed="false">
      <c r="A23" s="14" t="s">
        <v>58</v>
      </c>
      <c r="B23" s="14" t="s">
        <v>65</v>
      </c>
      <c r="C23" s="14" t="s">
        <v>66</v>
      </c>
    </row>
    <row r="24" customFormat="false" ht="15" hidden="false" customHeight="false" outlineLevel="0" collapsed="false">
      <c r="A24" s="6" t="s">
        <v>67</v>
      </c>
      <c r="B24" s="21" t="s">
        <v>68</v>
      </c>
      <c r="C24" s="19"/>
    </row>
    <row r="25" customFormat="false" ht="15" hidden="false" customHeight="false" outlineLevel="0" collapsed="false">
      <c r="A25" s="6" t="s">
        <v>69</v>
      </c>
      <c r="B25" s="21" t="s">
        <v>70</v>
      </c>
      <c r="C25" s="19"/>
    </row>
    <row r="26" customFormat="false" ht="15" hidden="false" customHeight="false" outlineLevel="0" collapsed="false">
      <c r="A26" s="6" t="s">
        <v>71</v>
      </c>
      <c r="B26" s="21" t="s">
        <v>72</v>
      </c>
      <c r="C26" s="19"/>
    </row>
    <row r="27" customFormat="false" ht="15" hidden="false" customHeight="false" outlineLevel="0" collapsed="false">
      <c r="A27" s="6" t="s">
        <v>73</v>
      </c>
      <c r="B27" s="21" t="s">
        <v>74</v>
      </c>
      <c r="C27" s="19"/>
    </row>
    <row r="28" customFormat="false" ht="15" hidden="false" customHeight="false" outlineLevel="0" collapsed="false">
      <c r="A28" s="6" t="s">
        <v>75</v>
      </c>
      <c r="B28" s="21"/>
      <c r="C28" s="19"/>
    </row>
  </sheetData>
  <sheetProtection sheet="true" formatColumns="false" formatRows="false"/>
  <dataValidations count="1">
    <dataValidation allowBlank="true" errorStyle="stop" operator="between" showDropDown="false" showErrorMessage="false" showInputMessage="false" sqref="B7:B18" type="list">
      <formula1>"1099-NEC,1099-K,Cash,Zelle / app,Check,Other"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23.85" hidden="false" customHeight="false" outlineLevel="0" collapsed="false">
      <c r="A4" s="14" t="s">
        <v>78</v>
      </c>
      <c r="B4" s="14" t="s">
        <v>79</v>
      </c>
      <c r="C4" s="14" t="s">
        <v>80</v>
      </c>
      <c r="D4" s="14" t="s">
        <v>81</v>
      </c>
      <c r="E4" s="14" t="s">
        <v>82</v>
      </c>
      <c r="F4" s="14" t="s">
        <v>83</v>
      </c>
    </row>
    <row r="5" customFormat="false" ht="15" hidden="false" customHeight="false" outlineLevel="0" collapsed="false">
      <c r="A5" s="15" t="s">
        <v>84</v>
      </c>
      <c r="B5" s="15" t="s">
        <v>85</v>
      </c>
      <c r="C5" s="18" t="n">
        <v>1250</v>
      </c>
      <c r="D5" s="22" t="n">
        <v>1</v>
      </c>
      <c r="E5" s="18" t="n">
        <v>1250</v>
      </c>
      <c r="F5" s="15"/>
    </row>
    <row r="6" customFormat="false" ht="15" hidden="false" customHeight="false" outlineLevel="0" collapsed="false">
      <c r="A6" s="23" t="s">
        <v>86</v>
      </c>
    </row>
    <row r="7" customFormat="false" ht="15" hidden="false" customHeight="false" outlineLevel="0" collapsed="false">
      <c r="A7" s="6" t="s">
        <v>87</v>
      </c>
      <c r="B7" s="21" t="s">
        <v>88</v>
      </c>
      <c r="C7" s="19"/>
      <c r="D7" s="24" t="n">
        <v>1</v>
      </c>
      <c r="E7" s="25" t="n">
        <f aca="false">C7*D7</f>
        <v>0</v>
      </c>
    </row>
    <row r="8" customFormat="false" ht="15" hidden="false" customHeight="false" outlineLevel="0" collapsed="false">
      <c r="A8" s="6" t="s">
        <v>89</v>
      </c>
      <c r="B8" s="21" t="s">
        <v>85</v>
      </c>
      <c r="C8" s="19"/>
      <c r="D8" s="24" t="n">
        <v>1</v>
      </c>
      <c r="E8" s="25" t="n">
        <f aca="false">C8*D8</f>
        <v>0</v>
      </c>
      <c r="F8" s="11" t="s">
        <v>90</v>
      </c>
    </row>
    <row r="9" customFormat="false" ht="15" hidden="false" customHeight="false" outlineLevel="0" collapsed="false">
      <c r="A9" s="6" t="s">
        <v>91</v>
      </c>
      <c r="B9" s="21" t="s">
        <v>92</v>
      </c>
      <c r="C9" s="19"/>
      <c r="D9" s="24" t="n">
        <v>1</v>
      </c>
      <c r="E9" s="25" t="n">
        <f aca="false">C9*D9</f>
        <v>0</v>
      </c>
    </row>
    <row r="10" customFormat="false" ht="15" hidden="false" customHeight="false" outlineLevel="0" collapsed="false">
      <c r="A10" s="6" t="s">
        <v>93</v>
      </c>
      <c r="B10" s="21" t="s">
        <v>94</v>
      </c>
      <c r="C10" s="19"/>
      <c r="D10" s="24" t="n">
        <v>1</v>
      </c>
      <c r="E10" s="25" t="n">
        <f aca="false">C10*D10</f>
        <v>0</v>
      </c>
      <c r="F10" s="11" t="s">
        <v>95</v>
      </c>
    </row>
    <row r="11" customFormat="false" ht="15" hidden="false" customHeight="false" outlineLevel="0" collapsed="false">
      <c r="A11" s="6" t="s">
        <v>96</v>
      </c>
      <c r="B11" s="21" t="s">
        <v>97</v>
      </c>
      <c r="C11" s="19"/>
      <c r="D11" s="24" t="n">
        <v>1</v>
      </c>
      <c r="E11" s="25" t="n">
        <f aca="false">C11*D11</f>
        <v>0</v>
      </c>
    </row>
    <row r="12" customFormat="false" ht="15" hidden="false" customHeight="false" outlineLevel="0" collapsed="false">
      <c r="A12" s="6" t="s">
        <v>98</v>
      </c>
      <c r="B12" s="21" t="s">
        <v>99</v>
      </c>
      <c r="C12" s="19"/>
      <c r="D12" s="24" t="n">
        <v>1</v>
      </c>
      <c r="E12" s="25" t="n">
        <f aca="false">C12*D12</f>
        <v>0</v>
      </c>
    </row>
    <row r="13" customFormat="false" ht="15" hidden="false" customHeight="false" outlineLevel="0" collapsed="false">
      <c r="A13" s="6" t="s">
        <v>100</v>
      </c>
      <c r="B13" s="21" t="s">
        <v>101</v>
      </c>
      <c r="C13" s="19"/>
      <c r="D13" s="24" t="n">
        <v>1</v>
      </c>
      <c r="E13" s="25" t="n">
        <f aca="false">C13*D13</f>
        <v>0</v>
      </c>
    </row>
    <row r="14" customFormat="false" ht="15" hidden="false" customHeight="false" outlineLevel="0" collapsed="false">
      <c r="A14" s="6" t="s">
        <v>102</v>
      </c>
      <c r="B14" s="21" t="s">
        <v>103</v>
      </c>
      <c r="C14" s="19"/>
      <c r="D14" s="24" t="n">
        <v>1</v>
      </c>
      <c r="E14" s="25" t="n">
        <f aca="false">C14*D14</f>
        <v>0</v>
      </c>
    </row>
    <row r="15" customFormat="false" ht="15" hidden="false" customHeight="false" outlineLevel="0" collapsed="false">
      <c r="A15" s="6" t="s">
        <v>104</v>
      </c>
      <c r="B15" s="21" t="s">
        <v>105</v>
      </c>
      <c r="C15" s="19"/>
      <c r="D15" s="24" t="n">
        <v>1</v>
      </c>
      <c r="E15" s="25" t="n">
        <f aca="false">C15*D15</f>
        <v>0</v>
      </c>
    </row>
    <row r="16" customFormat="false" ht="15" hidden="false" customHeight="false" outlineLevel="0" collapsed="false">
      <c r="A16" s="6" t="s">
        <v>106</v>
      </c>
      <c r="B16" s="21" t="s">
        <v>107</v>
      </c>
      <c r="C16" s="19"/>
      <c r="D16" s="24" t="n">
        <v>1</v>
      </c>
      <c r="E16" s="25" t="n">
        <f aca="false">C16*D16</f>
        <v>0</v>
      </c>
    </row>
    <row r="17" customFormat="false" ht="15" hidden="false" customHeight="false" outlineLevel="0" collapsed="false">
      <c r="A17" s="6" t="s">
        <v>108</v>
      </c>
      <c r="B17" s="21" t="s">
        <v>109</v>
      </c>
      <c r="C17" s="19"/>
      <c r="D17" s="24" t="n">
        <v>1</v>
      </c>
      <c r="E17" s="25" t="n">
        <f aca="false">C17*D17</f>
        <v>0</v>
      </c>
    </row>
    <row r="18" customFormat="false" ht="22.35" hidden="false" customHeight="false" outlineLevel="0" collapsed="false">
      <c r="A18" s="6" t="s">
        <v>110</v>
      </c>
      <c r="B18" s="21" t="s">
        <v>111</v>
      </c>
      <c r="C18" s="19"/>
      <c r="D18" s="24" t="n">
        <v>0.5</v>
      </c>
      <c r="E18" s="25" t="n">
        <f aca="false">C18*D18</f>
        <v>0</v>
      </c>
      <c r="F18" s="11" t="s">
        <v>112</v>
      </c>
    </row>
    <row r="19" customFormat="false" ht="15" hidden="false" customHeight="false" outlineLevel="0" collapsed="false">
      <c r="A19" s="6" t="s">
        <v>113</v>
      </c>
      <c r="B19" s="21" t="s">
        <v>114</v>
      </c>
      <c r="C19" s="19"/>
      <c r="D19" s="24" t="n">
        <v>1</v>
      </c>
      <c r="E19" s="25" t="n">
        <f aca="false">C19*D19</f>
        <v>0</v>
      </c>
      <c r="F19" s="11" t="s">
        <v>115</v>
      </c>
    </row>
    <row r="20" customFormat="false" ht="15" hidden="false" customHeight="false" outlineLevel="0" collapsed="false">
      <c r="A20" s="6" t="s">
        <v>116</v>
      </c>
      <c r="B20" s="21" t="s">
        <v>117</v>
      </c>
      <c r="C20" s="19"/>
      <c r="D20" s="24" t="n">
        <v>1</v>
      </c>
      <c r="E20" s="25" t="n">
        <f aca="false">C20*D20</f>
        <v>0</v>
      </c>
    </row>
    <row r="21" customFormat="false" ht="15" hidden="false" customHeight="false" outlineLevel="0" collapsed="false">
      <c r="A21" s="6" t="s">
        <v>118</v>
      </c>
      <c r="B21" s="21" t="s">
        <v>119</v>
      </c>
      <c r="C21" s="19"/>
      <c r="D21" s="24" t="n">
        <v>1</v>
      </c>
      <c r="E21" s="25" t="n">
        <f aca="false">C21*D21</f>
        <v>0</v>
      </c>
      <c r="F21" s="11" t="s">
        <v>120</v>
      </c>
    </row>
    <row r="22" customFormat="false" ht="15" hidden="false" customHeight="false" outlineLevel="0" collapsed="false">
      <c r="A22" s="6" t="s">
        <v>121</v>
      </c>
      <c r="B22" s="21" t="s">
        <v>119</v>
      </c>
      <c r="C22" s="19"/>
      <c r="D22" s="24" t="n">
        <v>1</v>
      </c>
      <c r="E22" s="25" t="n">
        <f aca="false">C22*D22</f>
        <v>0</v>
      </c>
      <c r="F22" s="11" t="s">
        <v>122</v>
      </c>
    </row>
    <row r="23" customFormat="false" ht="15" hidden="false" customHeight="false" outlineLevel="0" collapsed="false">
      <c r="A23" s="6" t="s">
        <v>123</v>
      </c>
      <c r="B23" s="21" t="s">
        <v>124</v>
      </c>
      <c r="C23" s="19"/>
      <c r="D23" s="24" t="n">
        <v>1</v>
      </c>
      <c r="E23" s="25" t="n">
        <f aca="false">C23*D23</f>
        <v>0</v>
      </c>
    </row>
    <row r="24" customFormat="false" ht="15" hidden="false" customHeight="false" outlineLevel="0" collapsed="false">
      <c r="A24" s="6" t="s">
        <v>125</v>
      </c>
      <c r="B24" s="21" t="s">
        <v>126</v>
      </c>
      <c r="C24" s="19"/>
      <c r="D24" s="24" t="n">
        <v>1</v>
      </c>
      <c r="E24" s="25" t="n">
        <f aca="false">C24*D24</f>
        <v>0</v>
      </c>
    </row>
    <row r="25" customFormat="false" ht="15" hidden="false" customHeight="false" outlineLevel="0" collapsed="false">
      <c r="A25" s="6" t="s">
        <v>127</v>
      </c>
      <c r="B25" s="21" t="s">
        <v>117</v>
      </c>
      <c r="C25" s="19"/>
      <c r="D25" s="24" t="n">
        <v>1</v>
      </c>
      <c r="E25" s="25" t="n">
        <f aca="false">C25*D25</f>
        <v>0</v>
      </c>
      <c r="F25" s="11" t="s">
        <v>128</v>
      </c>
    </row>
    <row r="26" customFormat="false" ht="15" hidden="false" customHeight="false" outlineLevel="0" collapsed="false">
      <c r="A26" s="6" t="s">
        <v>129</v>
      </c>
      <c r="B26" s="21" t="s">
        <v>103</v>
      </c>
      <c r="C26" s="19"/>
      <c r="D26" s="24" t="n">
        <v>1</v>
      </c>
      <c r="E26" s="25" t="n">
        <f aca="false">C26*D26</f>
        <v>0</v>
      </c>
    </row>
    <row r="27" customFormat="false" ht="15" hidden="false" customHeight="false" outlineLevel="0" collapsed="false">
      <c r="A27" s="6" t="s">
        <v>130</v>
      </c>
      <c r="B27" s="21" t="s">
        <v>114</v>
      </c>
      <c r="C27" s="19"/>
      <c r="D27" s="24" t="n">
        <v>1</v>
      </c>
      <c r="E27" s="25" t="n">
        <f aca="false">C27*D27</f>
        <v>0</v>
      </c>
    </row>
    <row r="28" customFormat="false" ht="15" hidden="false" customHeight="false" outlineLevel="0" collapsed="false">
      <c r="A28" s="6" t="s">
        <v>131</v>
      </c>
      <c r="B28" s="21" t="s">
        <v>117</v>
      </c>
      <c r="C28" s="19"/>
      <c r="D28" s="24" t="n">
        <v>1</v>
      </c>
      <c r="E28" s="25" t="n">
        <f aca="false">C28*D28</f>
        <v>0</v>
      </c>
    </row>
    <row r="29" customFormat="false" ht="15" hidden="false" customHeight="false" outlineLevel="0" collapsed="false">
      <c r="A29" s="6" t="s">
        <v>132</v>
      </c>
      <c r="B29" s="21" t="s">
        <v>117</v>
      </c>
      <c r="C29" s="19"/>
      <c r="D29" s="24" t="n">
        <v>1</v>
      </c>
      <c r="E29" s="25" t="n">
        <f aca="false">C29*D29</f>
        <v>0</v>
      </c>
    </row>
    <row r="30" customFormat="false" ht="22.35" hidden="false" customHeight="false" outlineLevel="0" collapsed="false">
      <c r="A30" s="6" t="s">
        <v>133</v>
      </c>
      <c r="B30" s="21" t="s">
        <v>134</v>
      </c>
      <c r="C30" s="19"/>
      <c r="D30" s="24" t="n">
        <v>0</v>
      </c>
      <c r="E30" s="25" t="n">
        <f aca="false">C30*D30</f>
        <v>0</v>
      </c>
      <c r="F30" s="11" t="s">
        <v>135</v>
      </c>
    </row>
    <row r="31" customFormat="false" ht="15" hidden="false" customHeight="false" outlineLevel="0" collapsed="false">
      <c r="A31" s="23" t="s">
        <v>136</v>
      </c>
    </row>
    <row r="32" customFormat="false" ht="15" hidden="false" customHeight="false" outlineLevel="0" collapsed="false">
      <c r="A32" s="6" t="s">
        <v>137</v>
      </c>
      <c r="B32" s="21" t="s">
        <v>85</v>
      </c>
      <c r="C32" s="19"/>
      <c r="D32" s="24" t="n">
        <v>1</v>
      </c>
      <c r="E32" s="25" t="n">
        <f aca="false">C32*D32</f>
        <v>0</v>
      </c>
    </row>
    <row r="33" customFormat="false" ht="15" hidden="false" customHeight="false" outlineLevel="0" collapsed="false">
      <c r="A33" s="6" t="s">
        <v>138</v>
      </c>
      <c r="B33" s="21" t="s">
        <v>85</v>
      </c>
      <c r="C33" s="19"/>
      <c r="D33" s="24" t="n">
        <v>1</v>
      </c>
      <c r="E33" s="25" t="n">
        <f aca="false">C33*D33</f>
        <v>0</v>
      </c>
    </row>
    <row r="34" customFormat="false" ht="15" hidden="false" customHeight="false" outlineLevel="0" collapsed="false">
      <c r="A34" s="6" t="s">
        <v>139</v>
      </c>
      <c r="B34" s="21" t="s">
        <v>107</v>
      </c>
      <c r="C34" s="19"/>
      <c r="D34" s="24" t="n">
        <v>1</v>
      </c>
      <c r="E34" s="25" t="n">
        <f aca="false">C34*D34</f>
        <v>0</v>
      </c>
    </row>
    <row r="35" customFormat="false" ht="15" hidden="false" customHeight="false" outlineLevel="0" collapsed="false">
      <c r="A35" s="6" t="s">
        <v>140</v>
      </c>
      <c r="B35" s="21" t="s">
        <v>107</v>
      </c>
      <c r="C35" s="19"/>
      <c r="D35" s="24" t="n">
        <v>1</v>
      </c>
      <c r="E35" s="25" t="n">
        <f aca="false">C35*D35</f>
        <v>0</v>
      </c>
    </row>
    <row r="36" customFormat="false" ht="15" hidden="false" customHeight="false" outlineLevel="0" collapsed="false">
      <c r="A36" s="6" t="s">
        <v>141</v>
      </c>
      <c r="B36" s="21" t="s">
        <v>107</v>
      </c>
      <c r="C36" s="19"/>
      <c r="D36" s="24" t="n">
        <v>1</v>
      </c>
      <c r="E36" s="25" t="n">
        <f aca="false">C36*D36</f>
        <v>0</v>
      </c>
    </row>
    <row r="37" customFormat="false" ht="15" hidden="false" customHeight="false" outlineLevel="0" collapsed="false">
      <c r="A37" s="6" t="s">
        <v>142</v>
      </c>
      <c r="B37" s="21" t="s">
        <v>107</v>
      </c>
      <c r="C37" s="19"/>
      <c r="D37" s="24" t="n">
        <v>1</v>
      </c>
      <c r="E37" s="25" t="n">
        <f aca="false">C37*D37</f>
        <v>0</v>
      </c>
    </row>
    <row r="38" customFormat="false" ht="15" hidden="false" customHeight="false" outlineLevel="0" collapsed="false">
      <c r="A38" s="6" t="s">
        <v>143</v>
      </c>
      <c r="B38" s="21" t="s">
        <v>107</v>
      </c>
      <c r="C38" s="19"/>
      <c r="D38" s="24" t="n">
        <v>1</v>
      </c>
      <c r="E38" s="25" t="n">
        <f aca="false">C38*D38</f>
        <v>0</v>
      </c>
    </row>
    <row r="39" customFormat="false" ht="15" hidden="false" customHeight="false" outlineLevel="0" collapsed="false">
      <c r="A39" s="6" t="s">
        <v>144</v>
      </c>
      <c r="B39" s="21" t="s">
        <v>107</v>
      </c>
      <c r="C39" s="19"/>
      <c r="D39" s="24" t="n">
        <v>1</v>
      </c>
      <c r="E39" s="25" t="n">
        <f aca="false">C39*D39</f>
        <v>0</v>
      </c>
    </row>
    <row r="40" customFormat="false" ht="15" hidden="false" customHeight="false" outlineLevel="0" collapsed="false">
      <c r="A40" s="6" t="s">
        <v>145</v>
      </c>
      <c r="B40" s="21" t="s">
        <v>107</v>
      </c>
      <c r="C40" s="19"/>
      <c r="D40" s="24" t="n">
        <v>1</v>
      </c>
      <c r="E40" s="25" t="n">
        <f aca="false">C40*D40</f>
        <v>0</v>
      </c>
    </row>
    <row r="41" customFormat="false" ht="15" hidden="false" customHeight="false" outlineLevel="0" collapsed="false">
      <c r="A41" s="6" t="s">
        <v>146</v>
      </c>
      <c r="B41" s="21" t="s">
        <v>97</v>
      </c>
      <c r="C41" s="19"/>
      <c r="D41" s="24" t="n">
        <v>1</v>
      </c>
      <c r="E41" s="25" t="n">
        <f aca="false">C41*D41</f>
        <v>0</v>
      </c>
    </row>
    <row r="42" customFormat="false" ht="15" hidden="false" customHeight="false" outlineLevel="0" collapsed="false">
      <c r="A42" s="6" t="s">
        <v>147</v>
      </c>
      <c r="B42" s="21" t="s">
        <v>124</v>
      </c>
      <c r="C42" s="19"/>
      <c r="D42" s="24" t="n">
        <v>1</v>
      </c>
      <c r="E42" s="25" t="n">
        <f aca="false">C42*D42</f>
        <v>0</v>
      </c>
    </row>
    <row r="43" customFormat="false" ht="15" hidden="false" customHeight="false" outlineLevel="0" collapsed="false">
      <c r="A43" s="6" t="s">
        <v>148</v>
      </c>
      <c r="B43" s="21" t="s">
        <v>99</v>
      </c>
      <c r="C43" s="19"/>
      <c r="D43" s="24" t="n">
        <v>1</v>
      </c>
      <c r="E43" s="25" t="n">
        <f aca="false">C43*D43</f>
        <v>0</v>
      </c>
    </row>
    <row r="44" customFormat="false" ht="15" hidden="false" customHeight="false" outlineLevel="0" collapsed="false">
      <c r="A44" s="6" t="s">
        <v>149</v>
      </c>
      <c r="B44" s="21" t="s">
        <v>117</v>
      </c>
      <c r="C44" s="19"/>
      <c r="D44" s="24" t="n">
        <v>1</v>
      </c>
      <c r="E44" s="25" t="n">
        <f aca="false">C44*D44</f>
        <v>0</v>
      </c>
    </row>
    <row r="45" customFormat="false" ht="15" hidden="false" customHeight="false" outlineLevel="0" collapsed="false">
      <c r="A45" s="6" t="s">
        <v>150</v>
      </c>
      <c r="B45" s="21" t="s">
        <v>117</v>
      </c>
      <c r="C45" s="19"/>
      <c r="D45" s="24" t="n">
        <v>1</v>
      </c>
      <c r="E45" s="25" t="n">
        <f aca="false">C45*D45</f>
        <v>0</v>
      </c>
    </row>
    <row r="46" customFormat="false" ht="15" hidden="false" customHeight="false" outlineLevel="0" collapsed="false">
      <c r="A46" s="6" t="s">
        <v>151</v>
      </c>
      <c r="B46" s="21" t="s">
        <v>117</v>
      </c>
      <c r="C46" s="19"/>
      <c r="D46" s="24" t="n">
        <v>1</v>
      </c>
      <c r="E46" s="25" t="n">
        <f aca="false">C46*D46</f>
        <v>0</v>
      </c>
    </row>
    <row r="47" customFormat="false" ht="15" hidden="false" customHeight="false" outlineLevel="0" collapsed="false">
      <c r="A47" s="6" t="s">
        <v>152</v>
      </c>
      <c r="B47" s="21" t="s">
        <v>92</v>
      </c>
      <c r="C47" s="19"/>
      <c r="D47" s="24" t="n">
        <v>1</v>
      </c>
      <c r="E47" s="25" t="n">
        <f aca="false">C47*D47</f>
        <v>0</v>
      </c>
    </row>
    <row r="48" customFormat="false" ht="15" hidden="false" customHeight="false" outlineLevel="0" collapsed="false">
      <c r="A48" s="6" t="s">
        <v>153</v>
      </c>
      <c r="B48" s="21" t="s">
        <v>154</v>
      </c>
      <c r="C48" s="19"/>
      <c r="D48" s="24" t="n">
        <v>1</v>
      </c>
      <c r="E48" s="25" t="n">
        <f aca="false">C48*D48</f>
        <v>0</v>
      </c>
    </row>
    <row r="49" customFormat="false" ht="15" hidden="false" customHeight="false" outlineLevel="0" collapsed="false">
      <c r="A49" s="6" t="s">
        <v>155</v>
      </c>
      <c r="B49" s="21" t="s">
        <v>94</v>
      </c>
      <c r="C49" s="19"/>
      <c r="D49" s="24" t="n">
        <v>1</v>
      </c>
      <c r="E49" s="25" t="n">
        <f aca="false">C49*D49</f>
        <v>0</v>
      </c>
    </row>
    <row r="50" customFormat="false" ht="15" hidden="false" customHeight="false" outlineLevel="0" collapsed="false">
      <c r="A50" s="6" t="s">
        <v>156</v>
      </c>
      <c r="B50" s="21" t="s">
        <v>117</v>
      </c>
      <c r="C50" s="19"/>
      <c r="D50" s="24" t="n">
        <v>1</v>
      </c>
      <c r="E50" s="25" t="n">
        <f aca="false">C50*D50</f>
        <v>0</v>
      </c>
    </row>
    <row r="51" customFormat="false" ht="15" hidden="false" customHeight="false" outlineLevel="0" collapsed="false">
      <c r="A51" s="6" t="s">
        <v>157</v>
      </c>
      <c r="B51" s="21" t="s">
        <v>117</v>
      </c>
      <c r="C51" s="19"/>
      <c r="D51" s="24" t="n">
        <v>1</v>
      </c>
      <c r="E51" s="25" t="n">
        <f aca="false">C51*D51</f>
        <v>0</v>
      </c>
    </row>
    <row r="52" customFormat="false" ht="15" hidden="false" customHeight="false" outlineLevel="0" collapsed="false">
      <c r="A52" s="6" t="s">
        <v>158</v>
      </c>
      <c r="B52" s="21" t="s">
        <v>119</v>
      </c>
      <c r="C52" s="19"/>
      <c r="D52" s="24" t="n">
        <v>1</v>
      </c>
      <c r="E52" s="25" t="n">
        <f aca="false">C52*D52</f>
        <v>0</v>
      </c>
      <c r="F52" s="11" t="s">
        <v>159</v>
      </c>
    </row>
    <row r="53" customFormat="false" ht="15" hidden="false" customHeight="false" outlineLevel="0" collapsed="false">
      <c r="A53" s="6" t="s">
        <v>160</v>
      </c>
      <c r="B53" s="21" t="s">
        <v>117</v>
      </c>
      <c r="C53" s="19"/>
      <c r="D53" s="24" t="n">
        <v>1</v>
      </c>
      <c r="E53" s="25" t="n">
        <f aca="false">C53*D53</f>
        <v>0</v>
      </c>
      <c r="F53" s="11" t="s">
        <v>159</v>
      </c>
    </row>
    <row r="54" customFormat="false" ht="15" hidden="false" customHeight="false" outlineLevel="0" collapsed="false">
      <c r="A54" s="23" t="s">
        <v>161</v>
      </c>
    </row>
    <row r="55" customFormat="false" ht="15" hidden="false" customHeight="false" outlineLevel="0" collapsed="false">
      <c r="A55" s="6" t="s">
        <v>162</v>
      </c>
      <c r="B55" s="21" t="s">
        <v>126</v>
      </c>
      <c r="C55" s="19"/>
      <c r="D55" s="24" t="n">
        <v>1</v>
      </c>
      <c r="E55" s="25" t="n">
        <f aca="false">C55*D55</f>
        <v>0</v>
      </c>
    </row>
    <row r="56" customFormat="false" ht="15" hidden="false" customHeight="false" outlineLevel="0" collapsed="false">
      <c r="A56" s="6" t="s">
        <v>163</v>
      </c>
      <c r="B56" s="21" t="s">
        <v>126</v>
      </c>
      <c r="C56" s="19"/>
      <c r="D56" s="24" t="n">
        <v>1</v>
      </c>
      <c r="E56" s="25" t="n">
        <f aca="false">C56*D56</f>
        <v>0</v>
      </c>
    </row>
    <row r="57" customFormat="false" ht="15" hidden="false" customHeight="false" outlineLevel="0" collapsed="false">
      <c r="A57" s="6" t="s">
        <v>164</v>
      </c>
      <c r="B57" s="21" t="s">
        <v>126</v>
      </c>
      <c r="C57" s="19"/>
      <c r="D57" s="24" t="n">
        <v>1</v>
      </c>
      <c r="E57" s="25" t="n">
        <f aca="false">C57*D57</f>
        <v>0</v>
      </c>
    </row>
    <row r="58" customFormat="false" ht="15" hidden="false" customHeight="false" outlineLevel="0" collapsed="false">
      <c r="A58" s="6" t="s">
        <v>165</v>
      </c>
      <c r="B58" s="21" t="s">
        <v>126</v>
      </c>
      <c r="C58" s="19"/>
      <c r="D58" s="24" t="n">
        <v>1</v>
      </c>
      <c r="E58" s="25" t="n">
        <f aca="false">C58*D58</f>
        <v>0</v>
      </c>
    </row>
    <row r="59" customFormat="false" ht="15" hidden="false" customHeight="false" outlineLevel="0" collapsed="false">
      <c r="A59" s="6" t="s">
        <v>166</v>
      </c>
      <c r="B59" s="21" t="s">
        <v>126</v>
      </c>
      <c r="C59" s="19"/>
      <c r="D59" s="24" t="n">
        <v>1</v>
      </c>
      <c r="E59" s="25" t="n">
        <f aca="false">C59*D59</f>
        <v>0</v>
      </c>
    </row>
    <row r="60" customFormat="false" ht="15" hidden="false" customHeight="false" outlineLevel="0" collapsed="false">
      <c r="A60" s="6" t="s">
        <v>167</v>
      </c>
      <c r="B60" s="21" t="s">
        <v>126</v>
      </c>
      <c r="C60" s="19"/>
      <c r="D60" s="24" t="n">
        <v>1</v>
      </c>
      <c r="E60" s="25" t="n">
        <f aca="false">C60*D60</f>
        <v>0</v>
      </c>
    </row>
    <row r="61" customFormat="false" ht="15" hidden="false" customHeight="false" outlineLevel="0" collapsed="false">
      <c r="A61" s="6" t="s">
        <v>168</v>
      </c>
      <c r="B61" s="21" t="s">
        <v>126</v>
      </c>
      <c r="C61" s="19"/>
      <c r="D61" s="24" t="n">
        <v>1</v>
      </c>
      <c r="E61" s="25" t="n">
        <f aca="false">C61*D61</f>
        <v>0</v>
      </c>
    </row>
    <row r="62" customFormat="false" ht="15" hidden="false" customHeight="false" outlineLevel="0" collapsed="false">
      <c r="A62" s="6" t="s">
        <v>169</v>
      </c>
      <c r="B62" s="21" t="s">
        <v>126</v>
      </c>
      <c r="C62" s="19"/>
      <c r="D62" s="24" t="n">
        <v>1</v>
      </c>
      <c r="E62" s="25" t="n">
        <f aca="false">C62*D62</f>
        <v>0</v>
      </c>
    </row>
    <row r="63" customFormat="false" ht="15" hidden="false" customHeight="false" outlineLevel="0" collapsed="false">
      <c r="A63" s="6" t="s">
        <v>170</v>
      </c>
      <c r="B63" s="21" t="s">
        <v>126</v>
      </c>
      <c r="C63" s="19"/>
      <c r="D63" s="24" t="n">
        <v>1</v>
      </c>
      <c r="E63" s="25" t="n">
        <f aca="false">C63*D63</f>
        <v>0</v>
      </c>
    </row>
    <row r="64" customFormat="false" ht="15" hidden="false" customHeight="false" outlineLevel="0" collapsed="false">
      <c r="A64" s="6" t="s">
        <v>171</v>
      </c>
      <c r="B64" s="21" t="s">
        <v>126</v>
      </c>
      <c r="C64" s="19"/>
      <c r="D64" s="24" t="n">
        <v>1</v>
      </c>
      <c r="E64" s="25" t="n">
        <f aca="false">C64*D64</f>
        <v>0</v>
      </c>
    </row>
    <row r="65" customFormat="false" ht="15" hidden="false" customHeight="false" outlineLevel="0" collapsed="false">
      <c r="A65" s="6" t="s">
        <v>172</v>
      </c>
      <c r="B65" s="21" t="s">
        <v>126</v>
      </c>
      <c r="C65" s="19"/>
      <c r="D65" s="24" t="n">
        <v>1</v>
      </c>
      <c r="E65" s="25" t="n">
        <f aca="false">C65*D65</f>
        <v>0</v>
      </c>
    </row>
    <row r="66" customFormat="false" ht="15" hidden="false" customHeight="false" outlineLevel="0" collapsed="false">
      <c r="A66" s="6" t="s">
        <v>173</v>
      </c>
      <c r="B66" s="21" t="s">
        <v>126</v>
      </c>
      <c r="C66" s="19"/>
      <c r="D66" s="24" t="n">
        <v>1</v>
      </c>
      <c r="E66" s="25" t="n">
        <f aca="false">C66*D66</f>
        <v>0</v>
      </c>
    </row>
    <row r="67" customFormat="false" ht="15" hidden="false" customHeight="false" outlineLevel="0" collapsed="false">
      <c r="A67" s="6" t="s">
        <v>174</v>
      </c>
      <c r="B67" s="21" t="s">
        <v>126</v>
      </c>
      <c r="C67" s="19"/>
      <c r="D67" s="24" t="n">
        <v>1</v>
      </c>
      <c r="E67" s="25" t="n">
        <f aca="false">C67*D67</f>
        <v>0</v>
      </c>
    </row>
    <row r="68" customFormat="false" ht="15" hidden="false" customHeight="false" outlineLevel="0" collapsed="false">
      <c r="A68" s="6" t="s">
        <v>175</v>
      </c>
      <c r="B68" s="21" t="s">
        <v>126</v>
      </c>
      <c r="C68" s="19"/>
      <c r="D68" s="24" t="n">
        <v>1</v>
      </c>
      <c r="E68" s="25" t="n">
        <f aca="false">C68*D68</f>
        <v>0</v>
      </c>
    </row>
    <row r="69" customFormat="false" ht="15" hidden="false" customHeight="false" outlineLevel="0" collapsed="false">
      <c r="A69" s="6" t="s">
        <v>176</v>
      </c>
      <c r="B69" s="21" t="s">
        <v>126</v>
      </c>
      <c r="C69" s="19"/>
      <c r="D69" s="24" t="n">
        <v>1</v>
      </c>
      <c r="E69" s="25" t="n">
        <f aca="false">C69*D69</f>
        <v>0</v>
      </c>
    </row>
    <row r="70" customFormat="false" ht="15" hidden="false" customHeight="false" outlineLevel="0" collapsed="false">
      <c r="A70" s="6" t="s">
        <v>177</v>
      </c>
      <c r="B70" s="21" t="s">
        <v>126</v>
      </c>
      <c r="C70" s="19"/>
      <c r="D70" s="24" t="n">
        <v>1</v>
      </c>
      <c r="E70" s="25" t="n">
        <f aca="false">C70*D70</f>
        <v>0</v>
      </c>
    </row>
    <row r="71" customFormat="false" ht="15" hidden="false" customHeight="false" outlineLevel="0" collapsed="false">
      <c r="A71" s="6" t="s">
        <v>178</v>
      </c>
      <c r="B71" s="21" t="s">
        <v>126</v>
      </c>
      <c r="C71" s="19"/>
      <c r="D71" s="24" t="n">
        <v>1</v>
      </c>
      <c r="E71" s="25" t="n">
        <f aca="false">C71*D71</f>
        <v>0</v>
      </c>
    </row>
    <row r="72" customFormat="false" ht="15" hidden="false" customHeight="false" outlineLevel="0" collapsed="false">
      <c r="A72" s="6" t="s">
        <v>179</v>
      </c>
      <c r="B72" s="21" t="s">
        <v>126</v>
      </c>
      <c r="C72" s="19"/>
      <c r="D72" s="24" t="n">
        <v>1</v>
      </c>
      <c r="E72" s="25" t="n">
        <f aca="false">C72*D72</f>
        <v>0</v>
      </c>
    </row>
    <row r="73" customFormat="false" ht="15" hidden="false" customHeight="false" outlineLevel="0" collapsed="false">
      <c r="A73" s="23" t="s">
        <v>180</v>
      </c>
    </row>
    <row r="74" customFormat="false" ht="15" hidden="false" customHeight="false" outlineLevel="0" collapsed="false">
      <c r="A74" s="10"/>
      <c r="B74" s="21" t="s">
        <v>117</v>
      </c>
      <c r="C74" s="19"/>
      <c r="D74" s="24" t="n">
        <v>1</v>
      </c>
      <c r="E74" s="25" t="n">
        <f aca="false">C74*D74</f>
        <v>0</v>
      </c>
    </row>
    <row r="75" customFormat="false" ht="15" hidden="false" customHeight="false" outlineLevel="0" collapsed="false">
      <c r="A75" s="10"/>
      <c r="B75" s="21" t="s">
        <v>117</v>
      </c>
      <c r="C75" s="19"/>
      <c r="D75" s="24" t="n">
        <v>1</v>
      </c>
      <c r="E75" s="25" t="n">
        <f aca="false">C75*D75</f>
        <v>0</v>
      </c>
    </row>
    <row r="76" customFormat="false" ht="15" hidden="false" customHeight="false" outlineLevel="0" collapsed="false">
      <c r="A76" s="10"/>
      <c r="B76" s="21" t="s">
        <v>117</v>
      </c>
      <c r="C76" s="19"/>
      <c r="D76" s="24" t="n">
        <v>1</v>
      </c>
      <c r="E76" s="25" t="n">
        <f aca="false">C76*D76</f>
        <v>0</v>
      </c>
    </row>
    <row r="77" customFormat="false" ht="15" hidden="false" customHeight="false" outlineLevel="0" collapsed="false">
      <c r="A77" s="10"/>
      <c r="B77" s="21" t="s">
        <v>117</v>
      </c>
      <c r="C77" s="19"/>
      <c r="D77" s="24" t="n">
        <v>1</v>
      </c>
      <c r="E77" s="25" t="n">
        <f aca="false">C77*D77</f>
        <v>0</v>
      </c>
    </row>
    <row r="78" customFormat="false" ht="15" hidden="false" customHeight="false" outlineLevel="0" collapsed="false">
      <c r="A78" s="10"/>
      <c r="B78" s="21" t="s">
        <v>117</v>
      </c>
      <c r="C78" s="19"/>
      <c r="D78" s="24" t="n">
        <v>1</v>
      </c>
      <c r="E78" s="25" t="n">
        <f aca="false">C78*D78</f>
        <v>0</v>
      </c>
    </row>
    <row r="79" customFormat="false" ht="15" hidden="false" customHeight="false" outlineLevel="0" collapsed="false">
      <c r="A79" s="9" t="s">
        <v>181</v>
      </c>
      <c r="C79" s="20" t="n">
        <f aca="false">SUM(C6:C78)</f>
        <v>0</v>
      </c>
      <c r="E79" s="20" t="n">
        <f aca="false">SUM(E6:E78)</f>
        <v>0</v>
      </c>
    </row>
    <row r="81" customFormat="false" ht="15" hidden="false" customHeight="true" outlineLevel="0" collapsed="false">
      <c r="A81" s="17" t="s">
        <v>182</v>
      </c>
      <c r="B81" s="17"/>
      <c r="C81" s="17"/>
      <c r="D81" s="17"/>
      <c r="E81" s="17"/>
      <c r="F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</row>
  </sheetData>
  <sheetProtection sheet="true" formatColumns="false" formatRows="false"/>
  <mergeCells count="1">
    <mergeCell ref="A81:F8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23.85" hidden="false" customHeight="false" outlineLevel="0" collapsed="false">
      <c r="A4" s="14" t="s">
        <v>185</v>
      </c>
      <c r="B4" s="14" t="s">
        <v>186</v>
      </c>
      <c r="C4" s="14" t="s">
        <v>187</v>
      </c>
      <c r="D4" s="14" t="s">
        <v>188</v>
      </c>
      <c r="E4" s="14" t="s">
        <v>189</v>
      </c>
      <c r="F4" s="14" t="s">
        <v>190</v>
      </c>
    </row>
    <row r="5" customFormat="false" ht="15" hidden="false" customHeight="false" outlineLevel="0" collapsed="false">
      <c r="A5" s="15" t="s">
        <v>191</v>
      </c>
      <c r="B5" s="15" t="s">
        <v>192</v>
      </c>
      <c r="C5" s="15" t="n">
        <v>0</v>
      </c>
      <c r="D5" s="15" t="n">
        <v>6</v>
      </c>
      <c r="E5" s="15" t="n">
        <v>2</v>
      </c>
      <c r="F5" s="18" t="n">
        <v>600</v>
      </c>
    </row>
    <row r="6" customFormat="false" ht="15" hidden="false" customHeight="false" outlineLevel="0" collapsed="false">
      <c r="A6" s="26"/>
      <c r="B6" s="26"/>
      <c r="C6" s="12"/>
      <c r="D6" s="27" t="n">
        <f aca="false">IF(AND(ISNUMBER(A6),ISNUMBER(B6),B6&gt;A6),B6-A6-1,0)</f>
        <v>0</v>
      </c>
      <c r="E6" s="27" t="n">
        <f aca="false">IF(AND(ISNUMBER(A6),ISNUMBER(B6),B6&gt;A6),2,0)</f>
        <v>0</v>
      </c>
      <c r="F6" s="25" t="n">
        <f aca="false">(D6-MIN(C6,D6))*Data!$C$40+MIN(C6,D6)*Data!$C$41+E6*Data!$C$40*Data!$C$42</f>
        <v>0</v>
      </c>
    </row>
    <row r="7" customFormat="false" ht="15" hidden="false" customHeight="false" outlineLevel="0" collapsed="false">
      <c r="A7" s="26"/>
      <c r="B7" s="26"/>
      <c r="C7" s="12"/>
      <c r="D7" s="27" t="n">
        <f aca="false">IF(AND(ISNUMBER(A7),ISNUMBER(B7),B7&gt;A7),B7-A7-1,0)</f>
        <v>0</v>
      </c>
      <c r="E7" s="27" t="n">
        <f aca="false">IF(AND(ISNUMBER(A7),ISNUMBER(B7),B7&gt;A7),2,0)</f>
        <v>0</v>
      </c>
      <c r="F7" s="25" t="n">
        <f aca="false">(D7-MIN(C7,D7))*Data!$C$40+MIN(C7,D7)*Data!$C$41+E7*Data!$C$40*Data!$C$42</f>
        <v>0</v>
      </c>
    </row>
    <row r="8" customFormat="false" ht="15" hidden="false" customHeight="false" outlineLevel="0" collapsed="false">
      <c r="A8" s="26"/>
      <c r="B8" s="26"/>
      <c r="C8" s="12"/>
      <c r="D8" s="27" t="n">
        <f aca="false">IF(AND(ISNUMBER(A8),ISNUMBER(B8),B8&gt;A8),B8-A8-1,0)</f>
        <v>0</v>
      </c>
      <c r="E8" s="27" t="n">
        <f aca="false">IF(AND(ISNUMBER(A8),ISNUMBER(B8),B8&gt;A8),2,0)</f>
        <v>0</v>
      </c>
      <c r="F8" s="25" t="n">
        <f aca="false">(D8-MIN(C8,D8))*Data!$C$40+MIN(C8,D8)*Data!$C$41+E8*Data!$C$40*Data!$C$42</f>
        <v>0</v>
      </c>
    </row>
    <row r="9" customFormat="false" ht="15" hidden="false" customHeight="false" outlineLevel="0" collapsed="false">
      <c r="A9" s="26"/>
      <c r="B9" s="26"/>
      <c r="C9" s="12"/>
      <c r="D9" s="27" t="n">
        <f aca="false">IF(AND(ISNUMBER(A9),ISNUMBER(B9),B9&gt;A9),B9-A9-1,0)</f>
        <v>0</v>
      </c>
      <c r="E9" s="27" t="n">
        <f aca="false">IF(AND(ISNUMBER(A9),ISNUMBER(B9),B9&gt;A9),2,0)</f>
        <v>0</v>
      </c>
      <c r="F9" s="25" t="n">
        <f aca="false">(D9-MIN(C9,D9))*Data!$C$40+MIN(C9,D9)*Data!$C$41+E9*Data!$C$40*Data!$C$42</f>
        <v>0</v>
      </c>
    </row>
    <row r="10" customFormat="false" ht="15" hidden="false" customHeight="false" outlineLevel="0" collapsed="false">
      <c r="A10" s="26"/>
      <c r="B10" s="26"/>
      <c r="C10" s="12"/>
      <c r="D10" s="27" t="n">
        <f aca="false">IF(AND(ISNUMBER(A10),ISNUMBER(B10),B10&gt;A10),B10-A10-1,0)</f>
        <v>0</v>
      </c>
      <c r="E10" s="27" t="n">
        <f aca="false">IF(AND(ISNUMBER(A10),ISNUMBER(B10),B10&gt;A10),2,0)</f>
        <v>0</v>
      </c>
      <c r="F10" s="25" t="n">
        <f aca="false">(D10-MIN(C10,D10))*Data!$C$40+MIN(C10,D10)*Data!$C$41+E10*Data!$C$40*Data!$C$42</f>
        <v>0</v>
      </c>
    </row>
    <row r="11" customFormat="false" ht="15" hidden="false" customHeight="false" outlineLevel="0" collapsed="false">
      <c r="A11" s="26"/>
      <c r="B11" s="26"/>
      <c r="C11" s="12"/>
      <c r="D11" s="27" t="n">
        <f aca="false">IF(AND(ISNUMBER(A11),ISNUMBER(B11),B11&gt;A11),B11-A11-1,0)</f>
        <v>0</v>
      </c>
      <c r="E11" s="27" t="n">
        <f aca="false">IF(AND(ISNUMBER(A11),ISNUMBER(B11),B11&gt;A11),2,0)</f>
        <v>0</v>
      </c>
      <c r="F11" s="25" t="n">
        <f aca="false">(D11-MIN(C11,D11))*Data!$C$40+MIN(C11,D11)*Data!$C$41+E11*Data!$C$40*Data!$C$42</f>
        <v>0</v>
      </c>
    </row>
    <row r="12" customFormat="false" ht="15" hidden="false" customHeight="false" outlineLevel="0" collapsed="false">
      <c r="A12" s="26"/>
      <c r="B12" s="26"/>
      <c r="C12" s="12"/>
      <c r="D12" s="27" t="n">
        <f aca="false">IF(AND(ISNUMBER(A12),ISNUMBER(B12),B12&gt;A12),B12-A12-1,0)</f>
        <v>0</v>
      </c>
      <c r="E12" s="27" t="n">
        <f aca="false">IF(AND(ISNUMBER(A12),ISNUMBER(B12),B12&gt;A12),2,0)</f>
        <v>0</v>
      </c>
      <c r="F12" s="25" t="n">
        <f aca="false">(D12-MIN(C12,D12))*Data!$C$40+MIN(C12,D12)*Data!$C$41+E12*Data!$C$40*Data!$C$42</f>
        <v>0</v>
      </c>
    </row>
    <row r="13" customFormat="false" ht="15" hidden="false" customHeight="false" outlineLevel="0" collapsed="false">
      <c r="A13" s="26"/>
      <c r="B13" s="26"/>
      <c r="C13" s="12"/>
      <c r="D13" s="27" t="n">
        <f aca="false">IF(AND(ISNUMBER(A13),ISNUMBER(B13),B13&gt;A13),B13-A13-1,0)</f>
        <v>0</v>
      </c>
      <c r="E13" s="27" t="n">
        <f aca="false">IF(AND(ISNUMBER(A13),ISNUMBER(B13),B13&gt;A13),2,0)</f>
        <v>0</v>
      </c>
      <c r="F13" s="25" t="n">
        <f aca="false">(D13-MIN(C13,D13))*Data!$C$40+MIN(C13,D13)*Data!$C$41+E13*Data!$C$40*Data!$C$42</f>
        <v>0</v>
      </c>
    </row>
    <row r="14" customFormat="false" ht="15" hidden="false" customHeight="false" outlineLevel="0" collapsed="false">
      <c r="A14" s="26"/>
      <c r="B14" s="26"/>
      <c r="C14" s="12"/>
      <c r="D14" s="27" t="n">
        <f aca="false">IF(AND(ISNUMBER(A14),ISNUMBER(B14),B14&gt;A14),B14-A14-1,0)</f>
        <v>0</v>
      </c>
      <c r="E14" s="27" t="n">
        <f aca="false">IF(AND(ISNUMBER(A14),ISNUMBER(B14),B14&gt;A14),2,0)</f>
        <v>0</v>
      </c>
      <c r="F14" s="25" t="n">
        <f aca="false">(D14-MIN(C14,D14))*Data!$C$40+MIN(C14,D14)*Data!$C$41+E14*Data!$C$40*Data!$C$42</f>
        <v>0</v>
      </c>
    </row>
    <row r="15" customFormat="false" ht="15" hidden="false" customHeight="false" outlineLevel="0" collapsed="false">
      <c r="A15" s="26"/>
      <c r="B15" s="26"/>
      <c r="C15" s="12"/>
      <c r="D15" s="27" t="n">
        <f aca="false">IF(AND(ISNUMBER(A15),ISNUMBER(B15),B15&gt;A15),B15-A15-1,0)</f>
        <v>0</v>
      </c>
      <c r="E15" s="27" t="n">
        <f aca="false">IF(AND(ISNUMBER(A15),ISNUMBER(B15),B15&gt;A15),2,0)</f>
        <v>0</v>
      </c>
      <c r="F15" s="25" t="n">
        <f aca="false">(D15-MIN(C15,D15))*Data!$C$40+MIN(C15,D15)*Data!$C$41+E15*Data!$C$40*Data!$C$42</f>
        <v>0</v>
      </c>
    </row>
    <row r="16" customFormat="false" ht="15" hidden="false" customHeight="false" outlineLevel="0" collapsed="false">
      <c r="A16" s="26"/>
      <c r="B16" s="26"/>
      <c r="C16" s="12"/>
      <c r="D16" s="27" t="n">
        <f aca="false">IF(AND(ISNUMBER(A16),ISNUMBER(B16),B16&gt;A16),B16-A16-1,0)</f>
        <v>0</v>
      </c>
      <c r="E16" s="27" t="n">
        <f aca="false">IF(AND(ISNUMBER(A16),ISNUMBER(B16),B16&gt;A16),2,0)</f>
        <v>0</v>
      </c>
      <c r="F16" s="25" t="n">
        <f aca="false">(D16-MIN(C16,D16))*Data!$C$40+MIN(C16,D16)*Data!$C$41+E16*Data!$C$40*Data!$C$42</f>
        <v>0</v>
      </c>
    </row>
    <row r="17" customFormat="false" ht="15" hidden="false" customHeight="false" outlineLevel="0" collapsed="false">
      <c r="A17" s="26"/>
      <c r="B17" s="26"/>
      <c r="C17" s="12"/>
      <c r="D17" s="27" t="n">
        <f aca="false">IF(AND(ISNUMBER(A17),ISNUMBER(B17),B17&gt;A17),B17-A17-1,0)</f>
        <v>0</v>
      </c>
      <c r="E17" s="27" t="n">
        <f aca="false">IF(AND(ISNUMBER(A17),ISNUMBER(B17),B17&gt;A17),2,0)</f>
        <v>0</v>
      </c>
      <c r="F17" s="25" t="n">
        <f aca="false">(D17-MIN(C17,D17))*Data!$C$40+MIN(C17,D17)*Data!$C$41+E17*Data!$C$40*Data!$C$42</f>
        <v>0</v>
      </c>
    </row>
    <row r="18" customFormat="false" ht="15" hidden="false" customHeight="false" outlineLevel="0" collapsed="false">
      <c r="A18" s="26"/>
      <c r="B18" s="26"/>
      <c r="C18" s="12"/>
      <c r="D18" s="27" t="n">
        <f aca="false">IF(AND(ISNUMBER(A18),ISNUMBER(B18),B18&gt;A18),B18-A18-1,0)</f>
        <v>0</v>
      </c>
      <c r="E18" s="27" t="n">
        <f aca="false">IF(AND(ISNUMBER(A18),ISNUMBER(B18),B18&gt;A18),2,0)</f>
        <v>0</v>
      </c>
      <c r="F18" s="25" t="n">
        <f aca="false">(D18-MIN(C18,D18))*Data!$C$40+MIN(C18,D18)*Data!$C$41+E18*Data!$C$40*Data!$C$42</f>
        <v>0</v>
      </c>
    </row>
    <row r="19" customFormat="false" ht="15" hidden="false" customHeight="false" outlineLevel="0" collapsed="false">
      <c r="A19" s="26"/>
      <c r="B19" s="26"/>
      <c r="C19" s="12"/>
      <c r="D19" s="27" t="n">
        <f aca="false">IF(AND(ISNUMBER(A19),ISNUMBER(B19),B19&gt;A19),B19-A19-1,0)</f>
        <v>0</v>
      </c>
      <c r="E19" s="27" t="n">
        <f aca="false">IF(AND(ISNUMBER(A19),ISNUMBER(B19),B19&gt;A19),2,0)</f>
        <v>0</v>
      </c>
      <c r="F19" s="25" t="n">
        <f aca="false">(D19-MIN(C19,D19))*Data!$C$40+MIN(C19,D19)*Data!$C$41+E19*Data!$C$40*Data!$C$42</f>
        <v>0</v>
      </c>
    </row>
    <row r="20" customFormat="false" ht="15" hidden="false" customHeight="false" outlineLevel="0" collapsed="false">
      <c r="A20" s="26"/>
      <c r="B20" s="26"/>
      <c r="C20" s="12"/>
      <c r="D20" s="27" t="n">
        <f aca="false">IF(AND(ISNUMBER(A20),ISNUMBER(B20),B20&gt;A20),B20-A20-1,0)</f>
        <v>0</v>
      </c>
      <c r="E20" s="27" t="n">
        <f aca="false">IF(AND(ISNUMBER(A20),ISNUMBER(B20),B20&gt;A20),2,0)</f>
        <v>0</v>
      </c>
      <c r="F20" s="25" t="n">
        <f aca="false">(D20-MIN(C20,D20))*Data!$C$40+MIN(C20,D20)*Data!$C$41+E20*Data!$C$40*Data!$C$42</f>
        <v>0</v>
      </c>
    </row>
    <row r="21" customFormat="false" ht="15" hidden="false" customHeight="false" outlineLevel="0" collapsed="false">
      <c r="A21" s="26"/>
      <c r="B21" s="26"/>
      <c r="C21" s="12"/>
      <c r="D21" s="27" t="n">
        <f aca="false">IF(AND(ISNUMBER(A21),ISNUMBER(B21),B21&gt;A21),B21-A21-1,0)</f>
        <v>0</v>
      </c>
      <c r="E21" s="27" t="n">
        <f aca="false">IF(AND(ISNUMBER(A21),ISNUMBER(B21),B21&gt;A21),2,0)</f>
        <v>0</v>
      </c>
      <c r="F21" s="25" t="n">
        <f aca="false">(D21-MIN(C21,D21))*Data!$C$40+MIN(C21,D21)*Data!$C$41+E21*Data!$C$40*Data!$C$42</f>
        <v>0</v>
      </c>
    </row>
    <row r="22" customFormat="false" ht="15" hidden="false" customHeight="false" outlineLevel="0" collapsed="false">
      <c r="A22" s="26"/>
      <c r="B22" s="26"/>
      <c r="C22" s="12"/>
      <c r="D22" s="27" t="n">
        <f aca="false">IF(AND(ISNUMBER(A22),ISNUMBER(B22),B22&gt;A22),B22-A22-1,0)</f>
        <v>0</v>
      </c>
      <c r="E22" s="27" t="n">
        <f aca="false">IF(AND(ISNUMBER(A22),ISNUMBER(B22),B22&gt;A22),2,0)</f>
        <v>0</v>
      </c>
      <c r="F22" s="25" t="n">
        <f aca="false">(D22-MIN(C22,D22))*Data!$C$40+MIN(C22,D22)*Data!$C$41+E22*Data!$C$40*Data!$C$42</f>
        <v>0</v>
      </c>
    </row>
    <row r="23" customFormat="false" ht="15" hidden="false" customHeight="false" outlineLevel="0" collapsed="false">
      <c r="A23" s="26"/>
      <c r="B23" s="26"/>
      <c r="C23" s="12"/>
      <c r="D23" s="27" t="n">
        <f aca="false">IF(AND(ISNUMBER(A23),ISNUMBER(B23),B23&gt;A23),B23-A23-1,0)</f>
        <v>0</v>
      </c>
      <c r="E23" s="27" t="n">
        <f aca="false">IF(AND(ISNUMBER(A23),ISNUMBER(B23),B23&gt;A23),2,0)</f>
        <v>0</v>
      </c>
      <c r="F23" s="25" t="n">
        <f aca="false">(D23-MIN(C23,D23))*Data!$C$40+MIN(C23,D23)*Data!$C$41+E23*Data!$C$40*Data!$C$42</f>
        <v>0</v>
      </c>
    </row>
    <row r="24" customFormat="false" ht="15" hidden="false" customHeight="false" outlineLevel="0" collapsed="false">
      <c r="A24" s="26"/>
      <c r="B24" s="26"/>
      <c r="C24" s="12"/>
      <c r="D24" s="27" t="n">
        <f aca="false">IF(AND(ISNUMBER(A24),ISNUMBER(B24),B24&gt;A24),B24-A24-1,0)</f>
        <v>0</v>
      </c>
      <c r="E24" s="27" t="n">
        <f aca="false">IF(AND(ISNUMBER(A24),ISNUMBER(B24),B24&gt;A24),2,0)</f>
        <v>0</v>
      </c>
      <c r="F24" s="25" t="n">
        <f aca="false">(D24-MIN(C24,D24))*Data!$C$40+MIN(C24,D24)*Data!$C$41+E24*Data!$C$40*Data!$C$42</f>
        <v>0</v>
      </c>
    </row>
    <row r="25" customFormat="false" ht="15" hidden="false" customHeight="false" outlineLevel="0" collapsed="false">
      <c r="A25" s="26"/>
      <c r="B25" s="26"/>
      <c r="C25" s="12"/>
      <c r="D25" s="27" t="n">
        <f aca="false">IF(AND(ISNUMBER(A25),ISNUMBER(B25),B25&gt;A25),B25-A25-1,0)</f>
        <v>0</v>
      </c>
      <c r="E25" s="27" t="n">
        <f aca="false">IF(AND(ISNUMBER(A25),ISNUMBER(B25),B25&gt;A25),2,0)</f>
        <v>0</v>
      </c>
      <c r="F25" s="25" t="n">
        <f aca="false">(D25-MIN(C25,D25))*Data!$C$40+MIN(C25,D25)*Data!$C$41+E25*Data!$C$40*Data!$C$42</f>
        <v>0</v>
      </c>
    </row>
    <row r="26" customFormat="false" ht="15" hidden="false" customHeight="false" outlineLevel="0" collapsed="false">
      <c r="A26" s="26"/>
      <c r="B26" s="26"/>
      <c r="C26" s="12"/>
      <c r="D26" s="27" t="n">
        <f aca="false">IF(AND(ISNUMBER(A26),ISNUMBER(B26),B26&gt;A26),B26-A26-1,0)</f>
        <v>0</v>
      </c>
      <c r="E26" s="27" t="n">
        <f aca="false">IF(AND(ISNUMBER(A26),ISNUMBER(B26),B26&gt;A26),2,0)</f>
        <v>0</v>
      </c>
      <c r="F26" s="25" t="n">
        <f aca="false">(D26-MIN(C26,D26))*Data!$C$40+MIN(C26,D26)*Data!$C$41+E26*Data!$C$40*Data!$C$42</f>
        <v>0</v>
      </c>
    </row>
    <row r="27" customFormat="false" ht="15" hidden="false" customHeight="false" outlineLevel="0" collapsed="false">
      <c r="A27" s="26"/>
      <c r="B27" s="26"/>
      <c r="C27" s="12"/>
      <c r="D27" s="27" t="n">
        <f aca="false">IF(AND(ISNUMBER(A27),ISNUMBER(B27),B27&gt;A27),B27-A27-1,0)</f>
        <v>0</v>
      </c>
      <c r="E27" s="27" t="n">
        <f aca="false">IF(AND(ISNUMBER(A27),ISNUMBER(B27),B27&gt;A27),2,0)</f>
        <v>0</v>
      </c>
      <c r="F27" s="25" t="n">
        <f aca="false">(D27-MIN(C27,D27))*Data!$C$40+MIN(C27,D27)*Data!$C$41+E27*Data!$C$40*Data!$C$42</f>
        <v>0</v>
      </c>
    </row>
    <row r="28" customFormat="false" ht="15" hidden="false" customHeight="false" outlineLevel="0" collapsed="false">
      <c r="A28" s="26"/>
      <c r="B28" s="26"/>
      <c r="C28" s="12"/>
      <c r="D28" s="27" t="n">
        <f aca="false">IF(AND(ISNUMBER(A28),ISNUMBER(B28),B28&gt;A28),B28-A28-1,0)</f>
        <v>0</v>
      </c>
      <c r="E28" s="27" t="n">
        <f aca="false">IF(AND(ISNUMBER(A28),ISNUMBER(B28),B28&gt;A28),2,0)</f>
        <v>0</v>
      </c>
      <c r="F28" s="25" t="n">
        <f aca="false">(D28-MIN(C28,D28))*Data!$C$40+MIN(C28,D28)*Data!$C$41+E28*Data!$C$40*Data!$C$42</f>
        <v>0</v>
      </c>
    </row>
    <row r="29" customFormat="false" ht="15" hidden="false" customHeight="false" outlineLevel="0" collapsed="false">
      <c r="A29" s="26"/>
      <c r="B29" s="26"/>
      <c r="C29" s="12"/>
      <c r="D29" s="27" t="n">
        <f aca="false">IF(AND(ISNUMBER(A29),ISNUMBER(B29),B29&gt;A29),B29-A29-1,0)</f>
        <v>0</v>
      </c>
      <c r="E29" s="27" t="n">
        <f aca="false">IF(AND(ISNUMBER(A29),ISNUMBER(B29),B29&gt;A29),2,0)</f>
        <v>0</v>
      </c>
      <c r="F29" s="25" t="n">
        <f aca="false">(D29-MIN(C29,D29))*Data!$C$40+MIN(C29,D29)*Data!$C$41+E29*Data!$C$40*Data!$C$42</f>
        <v>0</v>
      </c>
    </row>
    <row r="30" customFormat="false" ht="15" hidden="false" customHeight="false" outlineLevel="0" collapsed="false">
      <c r="A30" s="26"/>
      <c r="B30" s="26"/>
      <c r="C30" s="12"/>
      <c r="D30" s="27" t="n">
        <f aca="false">IF(AND(ISNUMBER(A30),ISNUMBER(B30),B30&gt;A30),B30-A30-1,0)</f>
        <v>0</v>
      </c>
      <c r="E30" s="27" t="n">
        <f aca="false">IF(AND(ISNUMBER(A30),ISNUMBER(B30),B30&gt;A30),2,0)</f>
        <v>0</v>
      </c>
      <c r="F30" s="25" t="n">
        <f aca="false">(D30-MIN(C30,D30))*Data!$C$40+MIN(C30,D30)*Data!$C$41+E30*Data!$C$40*Data!$C$42</f>
        <v>0</v>
      </c>
    </row>
    <row r="31" customFormat="false" ht="15" hidden="false" customHeight="false" outlineLevel="0" collapsed="false">
      <c r="A31" s="26"/>
      <c r="B31" s="26"/>
      <c r="C31" s="12"/>
      <c r="D31" s="27" t="n">
        <f aca="false">IF(AND(ISNUMBER(A31),ISNUMBER(B31),B31&gt;A31),B31-A31-1,0)</f>
        <v>0</v>
      </c>
      <c r="E31" s="27" t="n">
        <f aca="false">IF(AND(ISNUMBER(A31),ISNUMBER(B31),B31&gt;A31),2,0)</f>
        <v>0</v>
      </c>
      <c r="F31" s="25" t="n">
        <f aca="false">(D31-MIN(C31,D31))*Data!$C$40+MIN(C31,D31)*Data!$C$41+E31*Data!$C$40*Data!$C$42</f>
        <v>0</v>
      </c>
    </row>
    <row r="32" customFormat="false" ht="15" hidden="false" customHeight="false" outlineLevel="0" collapsed="false">
      <c r="A32" s="26"/>
      <c r="B32" s="26"/>
      <c r="C32" s="12"/>
      <c r="D32" s="27" t="n">
        <f aca="false">IF(AND(ISNUMBER(A32),ISNUMBER(B32),B32&gt;A32),B32-A32-1,0)</f>
        <v>0</v>
      </c>
      <c r="E32" s="27" t="n">
        <f aca="false">IF(AND(ISNUMBER(A32),ISNUMBER(B32),B32&gt;A32),2,0)</f>
        <v>0</v>
      </c>
      <c r="F32" s="25" t="n">
        <f aca="false">(D32-MIN(C32,D32))*Data!$C$40+MIN(C32,D32)*Data!$C$41+E32*Data!$C$40*Data!$C$42</f>
        <v>0</v>
      </c>
    </row>
    <row r="33" customFormat="false" ht="15" hidden="false" customHeight="false" outlineLevel="0" collapsed="false">
      <c r="A33" s="26"/>
      <c r="B33" s="26"/>
      <c r="C33" s="12"/>
      <c r="D33" s="27" t="n">
        <f aca="false">IF(AND(ISNUMBER(A33),ISNUMBER(B33),B33&gt;A33),B33-A33-1,0)</f>
        <v>0</v>
      </c>
      <c r="E33" s="27" t="n">
        <f aca="false">IF(AND(ISNUMBER(A33),ISNUMBER(B33),B33&gt;A33),2,0)</f>
        <v>0</v>
      </c>
      <c r="F33" s="25" t="n">
        <f aca="false">(D33-MIN(C33,D33))*Data!$C$40+MIN(C33,D33)*Data!$C$41+E33*Data!$C$40*Data!$C$42</f>
        <v>0</v>
      </c>
    </row>
    <row r="34" customFormat="false" ht="15" hidden="false" customHeight="false" outlineLevel="0" collapsed="false">
      <c r="A34" s="26"/>
      <c r="B34" s="26"/>
      <c r="C34" s="12"/>
      <c r="D34" s="27" t="n">
        <f aca="false">IF(AND(ISNUMBER(A34),ISNUMBER(B34),B34&gt;A34),B34-A34-1,0)</f>
        <v>0</v>
      </c>
      <c r="E34" s="27" t="n">
        <f aca="false">IF(AND(ISNUMBER(A34),ISNUMBER(B34),B34&gt;A34),2,0)</f>
        <v>0</v>
      </c>
      <c r="F34" s="25" t="n">
        <f aca="false">(D34-MIN(C34,D34))*Data!$C$40+MIN(C34,D34)*Data!$C$41+E34*Data!$C$40*Data!$C$42</f>
        <v>0</v>
      </c>
    </row>
    <row r="35" customFormat="false" ht="15" hidden="false" customHeight="false" outlineLevel="0" collapsed="false">
      <c r="A35" s="26"/>
      <c r="B35" s="26"/>
      <c r="C35" s="12"/>
      <c r="D35" s="27" t="n">
        <f aca="false">IF(AND(ISNUMBER(A35),ISNUMBER(B35),B35&gt;A35),B35-A35-1,0)</f>
        <v>0</v>
      </c>
      <c r="E35" s="27" t="n">
        <f aca="false">IF(AND(ISNUMBER(A35),ISNUMBER(B35),B35&gt;A35),2,0)</f>
        <v>0</v>
      </c>
      <c r="F35" s="25" t="n">
        <f aca="false">(D35-MIN(C35,D35))*Data!$C$40+MIN(C35,D35)*Data!$C$41+E35*Data!$C$40*Data!$C$42</f>
        <v>0</v>
      </c>
    </row>
    <row r="36" customFormat="false" ht="15" hidden="false" customHeight="false" outlineLevel="0" collapsed="false">
      <c r="A36" s="9" t="s">
        <v>52</v>
      </c>
      <c r="C36" s="28" t="n">
        <f aca="false">SUM(C6:C35)</f>
        <v>0</v>
      </c>
      <c r="D36" s="28" t="n">
        <f aca="false">SUM(D6:D35)</f>
        <v>0</v>
      </c>
      <c r="E36" s="28" t="n">
        <f aca="false">SUM(E6:E35)</f>
        <v>0</v>
      </c>
      <c r="F36" s="20" t="n">
        <f aca="false">SUM(F6:F35)</f>
        <v>0</v>
      </c>
    </row>
    <row r="37" customFormat="false" ht="15" hidden="false" customHeight="false" outlineLevel="0" collapsed="false">
      <c r="E37" s="9" t="s">
        <v>193</v>
      </c>
      <c r="F37" s="29" t="n">
        <f aca="false">F36*Data!$C$43</f>
        <v>0</v>
      </c>
    </row>
    <row r="39" customFormat="false" ht="15" hidden="false" customHeight="true" outlineLevel="0" collapsed="false">
      <c r="A39" s="17" t="s">
        <v>194</v>
      </c>
      <c r="B39" s="17"/>
      <c r="C39" s="17"/>
      <c r="D39" s="17"/>
      <c r="E39" s="17"/>
      <c r="F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</row>
  </sheetData>
  <sheetProtection sheet="true" formatColumns="false" formatRows="false"/>
  <mergeCells count="1">
    <mergeCell ref="A39:F41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14" t="s">
        <v>197</v>
      </c>
      <c r="B4" s="14" t="s">
        <v>198</v>
      </c>
      <c r="C4" s="14" t="s">
        <v>199</v>
      </c>
      <c r="D4" s="14" t="s">
        <v>200</v>
      </c>
      <c r="E4" s="14" t="s">
        <v>199</v>
      </c>
    </row>
    <row r="5" customFormat="false" ht="15" hidden="false" customHeight="false" outlineLevel="0" collapsed="false">
      <c r="A5" s="6" t="s">
        <v>201</v>
      </c>
      <c r="B5" s="19"/>
      <c r="C5" s="26"/>
      <c r="D5" s="19"/>
      <c r="E5" s="26"/>
    </row>
    <row r="6" customFormat="false" ht="15" hidden="false" customHeight="false" outlineLevel="0" collapsed="false">
      <c r="A6" s="6" t="s">
        <v>202</v>
      </c>
      <c r="B6" s="19"/>
      <c r="C6" s="26"/>
      <c r="D6" s="19"/>
      <c r="E6" s="26"/>
    </row>
    <row r="7" customFormat="false" ht="15" hidden="false" customHeight="false" outlineLevel="0" collapsed="false">
      <c r="A7" s="6" t="s">
        <v>203</v>
      </c>
      <c r="B7" s="19"/>
      <c r="C7" s="26"/>
      <c r="D7" s="19"/>
      <c r="E7" s="26"/>
    </row>
    <row r="8" customFormat="false" ht="15" hidden="false" customHeight="false" outlineLevel="0" collapsed="false">
      <c r="A8" s="6" t="s">
        <v>204</v>
      </c>
      <c r="B8" s="19"/>
      <c r="C8" s="26"/>
      <c r="D8" s="19"/>
      <c r="E8" s="26"/>
    </row>
    <row r="9" customFormat="false" ht="15" hidden="false" customHeight="false" outlineLevel="0" collapsed="false">
      <c r="A9" s="9" t="s">
        <v>52</v>
      </c>
      <c r="B9" s="20" t="n">
        <f aca="false">SUM(B5:B8)</f>
        <v>0</v>
      </c>
      <c r="D9" s="20" t="n">
        <f aca="false">SUM(D5:D8)</f>
        <v>0</v>
      </c>
    </row>
  </sheetData>
  <sheetProtection sheet="true" formatColumns="false" formatRows="false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15" hidden="false" customHeight="false" outlineLevel="0" collapsed="false">
      <c r="A4" s="6" t="s">
        <v>207</v>
      </c>
      <c r="B4" s="10"/>
    </row>
    <row r="5" customFormat="false" ht="15" hidden="false" customHeight="false" outlineLevel="0" collapsed="false">
      <c r="A5" s="6" t="s">
        <v>208</v>
      </c>
      <c r="B5" s="10"/>
    </row>
    <row r="6" customFormat="false" ht="15" hidden="false" customHeight="false" outlineLevel="0" collapsed="false">
      <c r="A6" s="6" t="s">
        <v>209</v>
      </c>
      <c r="B6" s="10"/>
    </row>
    <row r="7" customFormat="false" ht="15" hidden="false" customHeight="false" outlineLevel="0" collapsed="false">
      <c r="A7" s="6" t="s">
        <v>210</v>
      </c>
      <c r="B7" s="10"/>
    </row>
    <row r="8" customFormat="false" ht="15" hidden="false" customHeight="false" outlineLevel="0" collapsed="false">
      <c r="A8" s="6" t="s">
        <v>211</v>
      </c>
      <c r="B8" s="10"/>
    </row>
    <row r="9" customFormat="false" ht="15" hidden="false" customHeight="false" outlineLevel="0" collapsed="false">
      <c r="A9" s="6" t="s">
        <v>212</v>
      </c>
      <c r="B9" s="10"/>
    </row>
    <row r="10" customFormat="false" ht="15" hidden="false" customHeight="false" outlineLevel="0" collapsed="false">
      <c r="A10" s="6" t="s">
        <v>213</v>
      </c>
      <c r="B10" s="10"/>
    </row>
  </sheetData>
  <sheetProtection sheet="true" formatColumns="false" formatRows="false"/>
  <dataValidations count="1">
    <dataValidation allowBlank="true" errorStyle="stop" operator="between" showDropDown="false" showErrorMessage="false" showInputMessage="false" sqref="B4:B10" type="list">
      <formula1>"Yes,No"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6"/>
  </cols>
  <sheetData>
    <row r="1" customFormat="false" ht="19.7" hidden="false" customHeight="false" outlineLevel="0" collapsed="false">
      <c r="A1" s="1" t="s">
        <v>214</v>
      </c>
      <c r="E1" s="30" t="s">
        <v>22</v>
      </c>
      <c r="F1" s="30" t="s">
        <v>215</v>
      </c>
      <c r="H1" s="30" t="s">
        <v>216</v>
      </c>
      <c r="I1" s="30" t="s">
        <v>215</v>
      </c>
    </row>
    <row r="2" customFormat="false" ht="15" hidden="false" customHeight="false" outlineLevel="0" collapsed="false">
      <c r="A2" s="2" t="s">
        <v>217</v>
      </c>
      <c r="E2" s="30" t="s">
        <v>218</v>
      </c>
      <c r="F2" s="30" t="s">
        <v>219</v>
      </c>
      <c r="H2" s="30" t="s">
        <v>220</v>
      </c>
      <c r="I2" s="30" t="s">
        <v>221</v>
      </c>
    </row>
    <row r="3" customFormat="false" ht="15" hidden="false" customHeight="false" outlineLevel="0" collapsed="false">
      <c r="A3" s="31" t="s">
        <v>222</v>
      </c>
      <c r="B3" s="31" t="s">
        <v>223</v>
      </c>
      <c r="C3" s="31" t="s">
        <v>224</v>
      </c>
      <c r="E3" s="30" t="s">
        <v>225</v>
      </c>
      <c r="F3" s="30" t="s">
        <v>226</v>
      </c>
      <c r="H3" s="30" t="s">
        <v>227</v>
      </c>
      <c r="I3" s="30" t="s">
        <v>228</v>
      </c>
    </row>
    <row r="4" customFormat="false" ht="15" hidden="false" customHeight="false" outlineLevel="0" collapsed="false">
      <c r="A4" s="9" t="s">
        <v>229</v>
      </c>
      <c r="B4" s="21" t="s">
        <v>230</v>
      </c>
      <c r="C4" s="6" t="str">
        <f aca="false">"falcon-organizer-2026"</f>
        <v>falcon-organizer-2026</v>
      </c>
      <c r="E4" s="30" t="s">
        <v>231</v>
      </c>
      <c r="F4" s="30" t="s">
        <v>232</v>
      </c>
      <c r="H4" s="30" t="s">
        <v>233</v>
      </c>
      <c r="I4" s="30" t="s">
        <v>234</v>
      </c>
    </row>
    <row r="5" customFormat="false" ht="15" hidden="false" customHeight="false" outlineLevel="0" collapsed="false">
      <c r="A5" s="9" t="s">
        <v>235</v>
      </c>
      <c r="B5" s="21" t="s">
        <v>236</v>
      </c>
      <c r="C5" s="6" t="str">
        <f aca="false">IFERROR(INDEX($F$2:$F$5,MATCH(Household!B4,$E$2:$E$5,0)),"single")</f>
        <v>single</v>
      </c>
      <c r="E5" s="30" t="s">
        <v>237</v>
      </c>
      <c r="F5" s="30" t="s">
        <v>238</v>
      </c>
      <c r="H5" s="30" t="s">
        <v>239</v>
      </c>
      <c r="I5" s="30" t="s">
        <v>240</v>
      </c>
    </row>
    <row r="6" customFormat="false" ht="15" hidden="false" customHeight="false" outlineLevel="0" collapsed="false">
      <c r="A6" s="9" t="s">
        <v>241</v>
      </c>
      <c r="B6" s="21" t="s">
        <v>242</v>
      </c>
      <c r="C6" s="6" t="str">
        <f aca="false">IFERROR(INDEX($I$2:$I$52,MATCH(Household!B5,$H$2:$H$52,0)),"")</f>
        <v/>
      </c>
      <c r="H6" s="30" t="s">
        <v>243</v>
      </c>
      <c r="I6" s="30" t="s">
        <v>244</v>
      </c>
    </row>
    <row r="7" customFormat="false" ht="15" hidden="false" customHeight="false" outlineLevel="0" collapsed="false">
      <c r="A7" s="9" t="s">
        <v>245</v>
      </c>
      <c r="B7" s="21" t="s">
        <v>246</v>
      </c>
      <c r="C7" s="6" t="n">
        <f aca="false">IF(AND(ISNUMBER(Household!B6),Household!B6&gt;0,Household!B6&lt;=1961),1,0)</f>
        <v>0</v>
      </c>
      <c r="H7" s="30" t="s">
        <v>247</v>
      </c>
      <c r="I7" s="30" t="s">
        <v>248</v>
      </c>
    </row>
    <row r="8" customFormat="false" ht="15" hidden="false" customHeight="false" outlineLevel="0" collapsed="false">
      <c r="A8" s="9" t="s">
        <v>249</v>
      </c>
      <c r="B8" s="21" t="s">
        <v>250</v>
      </c>
      <c r="C8" s="6" t="n">
        <f aca="false">IF(AND(C5="mfj",ISNUMBER(Household!B7),Household!B7&gt;0,Household!B7&lt;=1961),1,0)</f>
        <v>0</v>
      </c>
      <c r="H8" s="30" t="s">
        <v>251</v>
      </c>
      <c r="I8" s="30" t="s">
        <v>252</v>
      </c>
    </row>
    <row r="9" customFormat="false" ht="15" hidden="false" customHeight="false" outlineLevel="0" collapsed="false">
      <c r="A9" s="9" t="s">
        <v>253</v>
      </c>
      <c r="B9" s="21" t="s">
        <v>254</v>
      </c>
      <c r="C9" s="6" t="n">
        <f aca="false">COUNTIFS(Household!A14:A23,"?*",Household!C14:C23,"&gt;=2010")</f>
        <v>0</v>
      </c>
      <c r="H9" s="30" t="s">
        <v>255</v>
      </c>
      <c r="I9" s="30" t="s">
        <v>256</v>
      </c>
    </row>
    <row r="10" customFormat="false" ht="15" hidden="false" customHeight="false" outlineLevel="0" collapsed="false">
      <c r="A10" s="9" t="s">
        <v>257</v>
      </c>
      <c r="B10" s="21" t="s">
        <v>258</v>
      </c>
      <c r="C10" s="6" t="n">
        <f aca="false">COUNTIF(Household!A14:A23,"?*")-C9</f>
        <v>0</v>
      </c>
      <c r="H10" s="30" t="s">
        <v>259</v>
      </c>
      <c r="I10" s="30" t="s">
        <v>260</v>
      </c>
    </row>
    <row r="11" customFormat="false" ht="15" hidden="false" customHeight="false" outlineLevel="0" collapsed="false">
      <c r="A11" s="9" t="s">
        <v>261</v>
      </c>
      <c r="B11" s="21" t="s">
        <v>262</v>
      </c>
      <c r="C11" s="6" t="str">
        <f aca="false">IF(C9+C10&gt;0,"yes","no")</f>
        <v>no</v>
      </c>
      <c r="H11" s="30" t="s">
        <v>263</v>
      </c>
      <c r="I11" s="30" t="s">
        <v>264</v>
      </c>
    </row>
    <row r="12" customFormat="false" ht="15" hidden="false" customHeight="false" outlineLevel="0" collapsed="false">
      <c r="A12" s="9" t="s">
        <v>265</v>
      </c>
      <c r="B12" s="21" t="s">
        <v>266</v>
      </c>
      <c r="C12" s="6" t="n">
        <f aca="false">IF(TRIM(Household!B8)="Yes",1,0)</f>
        <v>0</v>
      </c>
      <c r="H12" s="30" t="s">
        <v>267</v>
      </c>
      <c r="I12" s="30" t="s">
        <v>268</v>
      </c>
    </row>
    <row r="13" customFormat="false" ht="15" hidden="false" customHeight="false" outlineLevel="0" collapsed="false">
      <c r="A13" s="9" t="s">
        <v>269</v>
      </c>
      <c r="B13" s="21" t="s">
        <v>270</v>
      </c>
      <c r="C13" s="6" t="n">
        <f aca="false">Jobs!C16+Income!C24</f>
        <v>0</v>
      </c>
      <c r="H13" s="30" t="s">
        <v>271</v>
      </c>
      <c r="I13" s="30" t="s">
        <v>272</v>
      </c>
    </row>
    <row r="14" customFormat="false" ht="15" hidden="false" customHeight="false" outlineLevel="0" collapsed="false">
      <c r="A14" s="9" t="s">
        <v>273</v>
      </c>
      <c r="B14" s="21" t="s">
        <v>274</v>
      </c>
      <c r="C14" s="32" t="n">
        <f aca="false">Jobs!D16</f>
        <v>0</v>
      </c>
      <c r="H14" s="30" t="s">
        <v>275</v>
      </c>
      <c r="I14" s="30" t="s">
        <v>276</v>
      </c>
    </row>
    <row r="15" customFormat="false" ht="15" hidden="false" customHeight="false" outlineLevel="0" collapsed="false">
      <c r="A15" s="9" t="s">
        <v>277</v>
      </c>
      <c r="B15" s="21" t="s">
        <v>278</v>
      </c>
      <c r="C15" s="32" t="n">
        <f aca="false">Jobs!E16</f>
        <v>0</v>
      </c>
      <c r="H15" s="30" t="s">
        <v>279</v>
      </c>
      <c r="I15" s="30" t="s">
        <v>280</v>
      </c>
    </row>
    <row r="16" customFormat="false" ht="15" hidden="false" customHeight="false" outlineLevel="0" collapsed="false">
      <c r="A16" s="9" t="s">
        <v>281</v>
      </c>
      <c r="B16" s="21" t="s">
        <v>282</v>
      </c>
      <c r="C16" s="6" t="n">
        <f aca="false">Jobs!F16+Income!C24</f>
        <v>0</v>
      </c>
      <c r="H16" s="30" t="s">
        <v>283</v>
      </c>
      <c r="I16" s="30" t="s">
        <v>284</v>
      </c>
    </row>
    <row r="17" customFormat="false" ht="15" hidden="false" customHeight="false" outlineLevel="0" collapsed="false">
      <c r="A17" s="9" t="s">
        <v>285</v>
      </c>
      <c r="B17" s="21" t="s">
        <v>286</v>
      </c>
      <c r="C17" s="32" t="n">
        <f aca="false">Jobs!G16</f>
        <v>0</v>
      </c>
      <c r="H17" s="30" t="s">
        <v>287</v>
      </c>
      <c r="I17" s="30" t="s">
        <v>288</v>
      </c>
    </row>
    <row r="18" customFormat="false" ht="15" hidden="false" customHeight="false" outlineLevel="0" collapsed="false">
      <c r="A18" s="9" t="s">
        <v>289</v>
      </c>
      <c r="B18" s="21" t="s">
        <v>290</v>
      </c>
      <c r="C18" s="32" t="n">
        <f aca="false">Income!C19</f>
        <v>0</v>
      </c>
      <c r="H18" s="30" t="s">
        <v>291</v>
      </c>
      <c r="I18" s="30" t="s">
        <v>292</v>
      </c>
    </row>
    <row r="19" customFormat="false" ht="15" hidden="false" customHeight="false" outlineLevel="0" collapsed="false">
      <c r="A19" s="9" t="s">
        <v>293</v>
      </c>
      <c r="B19" s="21" t="s">
        <v>294</v>
      </c>
      <c r="C19" s="32" t="n">
        <f aca="false">Expenses!E79</f>
        <v>0</v>
      </c>
      <c r="H19" s="30" t="s">
        <v>295</v>
      </c>
      <c r="I19" s="30" t="s">
        <v>296</v>
      </c>
    </row>
    <row r="20" customFormat="false" ht="15" hidden="false" customHeight="false" outlineLevel="0" collapsed="false">
      <c r="A20" s="9" t="s">
        <v>297</v>
      </c>
      <c r="B20" s="21" t="s">
        <v>298</v>
      </c>
      <c r="C20" s="32" t="n">
        <f aca="false">Payments!B9</f>
        <v>0</v>
      </c>
      <c r="H20" s="30" t="s">
        <v>299</v>
      </c>
      <c r="I20" s="30" t="s">
        <v>300</v>
      </c>
    </row>
    <row r="21" customFormat="false" ht="15" hidden="false" customHeight="false" outlineLevel="0" collapsed="false">
      <c r="A21" s="9" t="s">
        <v>301</v>
      </c>
      <c r="B21" s="21" t="s">
        <v>302</v>
      </c>
      <c r="C21" s="32" t="n">
        <f aca="false">Payments!D9</f>
        <v>0</v>
      </c>
      <c r="H21" s="30" t="s">
        <v>303</v>
      </c>
      <c r="I21" s="30" t="s">
        <v>304</v>
      </c>
    </row>
    <row r="22" customFormat="false" ht="15" hidden="false" customHeight="false" outlineLevel="0" collapsed="false">
      <c r="A22" s="9" t="s">
        <v>305</v>
      </c>
      <c r="B22" s="21" t="s">
        <v>306</v>
      </c>
      <c r="C22" s="6" t="n">
        <f aca="false">IF(Trips!D36+Trips!E36&gt;0,1,0)</f>
        <v>0</v>
      </c>
      <c r="H22" s="30" t="s">
        <v>307</v>
      </c>
      <c r="I22" s="30" t="s">
        <v>308</v>
      </c>
    </row>
    <row r="23" customFormat="false" ht="15" hidden="false" customHeight="false" outlineLevel="0" collapsed="false">
      <c r="A23" s="9" t="s">
        <v>309</v>
      </c>
      <c r="B23" s="21" t="s">
        <v>310</v>
      </c>
      <c r="C23" s="6" t="n">
        <f aca="false">ROUND(Trips!D36-Trips!C36+Trips!C36*C41/C40,2)</f>
        <v>0</v>
      </c>
      <c r="H23" s="30" t="s">
        <v>311</v>
      </c>
      <c r="I23" s="30" t="s">
        <v>312</v>
      </c>
    </row>
    <row r="24" customFormat="false" ht="15" hidden="false" customHeight="false" outlineLevel="0" collapsed="false">
      <c r="A24" s="9" t="s">
        <v>313</v>
      </c>
      <c r="B24" s="21" t="s">
        <v>189</v>
      </c>
      <c r="C24" s="33" t="n">
        <f aca="false">Trips!E36</f>
        <v>0</v>
      </c>
      <c r="H24" s="30" t="s">
        <v>314</v>
      </c>
      <c r="I24" s="30" t="s">
        <v>315</v>
      </c>
    </row>
    <row r="25" customFormat="false" ht="15" hidden="false" customHeight="false" outlineLevel="0" collapsed="false">
      <c r="A25" s="9" t="s">
        <v>316</v>
      </c>
      <c r="B25" s="21" t="s">
        <v>69</v>
      </c>
      <c r="C25" s="32" t="n">
        <f aca="false">Income!C25</f>
        <v>0</v>
      </c>
      <c r="H25" s="30" t="s">
        <v>317</v>
      </c>
      <c r="I25" s="30" t="s">
        <v>318</v>
      </c>
    </row>
    <row r="26" customFormat="false" ht="15" hidden="false" customHeight="false" outlineLevel="0" collapsed="false">
      <c r="A26" s="9" t="s">
        <v>319</v>
      </c>
      <c r="B26" s="21" t="s">
        <v>320</v>
      </c>
      <c r="C26" s="32" t="n">
        <f aca="false">Income!C26</f>
        <v>0</v>
      </c>
      <c r="H26" s="30" t="s">
        <v>321</v>
      </c>
      <c r="I26" s="30" t="s">
        <v>322</v>
      </c>
    </row>
    <row r="27" customFormat="false" ht="15" hidden="false" customHeight="false" outlineLevel="0" collapsed="false">
      <c r="A27" s="9" t="s">
        <v>323</v>
      </c>
      <c r="B27" s="21" t="s">
        <v>324</v>
      </c>
      <c r="C27" s="6" t="n">
        <f aca="false">Income!C27+Income!C28</f>
        <v>0</v>
      </c>
      <c r="H27" s="30" t="s">
        <v>325</v>
      </c>
      <c r="I27" s="30" t="s">
        <v>326</v>
      </c>
    </row>
    <row r="28" customFormat="false" ht="15" hidden="false" customHeight="false" outlineLevel="0" collapsed="false">
      <c r="A28" s="9" t="s">
        <v>327</v>
      </c>
      <c r="B28" s="21" t="s">
        <v>328</v>
      </c>
      <c r="C28" s="6" t="n">
        <f aca="false">IF(Income!C27&gt;0,1,0)</f>
        <v>0</v>
      </c>
      <c r="H28" s="30" t="s">
        <v>329</v>
      </c>
      <c r="I28" s="30" t="s">
        <v>330</v>
      </c>
    </row>
    <row r="29" customFormat="false" ht="15" hidden="false" customHeight="false" outlineLevel="0" collapsed="false">
      <c r="A29" s="9" t="s">
        <v>331</v>
      </c>
      <c r="B29" s="21" t="s">
        <v>207</v>
      </c>
      <c r="C29" s="6" t="n">
        <f aca="false">IF(TRIM(Checklist!B4)="Yes",1,0)</f>
        <v>0</v>
      </c>
      <c r="H29" s="30" t="s">
        <v>332</v>
      </c>
      <c r="I29" s="30" t="s">
        <v>333</v>
      </c>
    </row>
    <row r="30" customFormat="false" ht="15" hidden="false" customHeight="false" outlineLevel="0" collapsed="false">
      <c r="A30" s="9" t="s">
        <v>334</v>
      </c>
      <c r="B30" s="21" t="s">
        <v>208</v>
      </c>
      <c r="C30" s="6" t="n">
        <f aca="false">IF(TRIM(Checklist!B5)="Yes",1,0)</f>
        <v>0</v>
      </c>
      <c r="H30" s="30" t="s">
        <v>335</v>
      </c>
      <c r="I30" s="30" t="s">
        <v>336</v>
      </c>
    </row>
    <row r="31" customFormat="false" ht="15" hidden="false" customHeight="false" outlineLevel="0" collapsed="false">
      <c r="A31" s="9" t="s">
        <v>337</v>
      </c>
      <c r="B31" s="21" t="s">
        <v>209</v>
      </c>
      <c r="C31" s="6" t="n">
        <f aca="false">IF(TRIM(Checklist!B6)="Yes",1,0)</f>
        <v>0</v>
      </c>
      <c r="H31" s="30" t="s">
        <v>338</v>
      </c>
      <c r="I31" s="30" t="s">
        <v>339</v>
      </c>
    </row>
    <row r="32" customFormat="false" ht="15" hidden="false" customHeight="false" outlineLevel="0" collapsed="false">
      <c r="A32" s="9" t="s">
        <v>340</v>
      </c>
      <c r="B32" s="21" t="s">
        <v>210</v>
      </c>
      <c r="C32" s="6" t="n">
        <f aca="false">IF(TRIM(Checklist!B7)="Yes",1,0)</f>
        <v>0</v>
      </c>
      <c r="H32" s="30" t="s">
        <v>341</v>
      </c>
      <c r="I32" s="30" t="s">
        <v>342</v>
      </c>
    </row>
    <row r="33" customFormat="false" ht="15" hidden="false" customHeight="false" outlineLevel="0" collapsed="false">
      <c r="A33" s="9" t="s">
        <v>343</v>
      </c>
      <c r="B33" s="21" t="s">
        <v>211</v>
      </c>
      <c r="C33" s="6" t="n">
        <f aca="false">IF(TRIM(Checklist!B8)="Yes",1,0)</f>
        <v>0</v>
      </c>
      <c r="H33" s="30" t="s">
        <v>344</v>
      </c>
      <c r="I33" s="30" t="s">
        <v>345</v>
      </c>
    </row>
    <row r="34" customFormat="false" ht="15" hidden="false" customHeight="false" outlineLevel="0" collapsed="false">
      <c r="A34" s="9" t="s">
        <v>346</v>
      </c>
      <c r="B34" s="21" t="s">
        <v>212</v>
      </c>
      <c r="C34" s="6" t="n">
        <f aca="false">IF(TRIM(Checklist!B9)="Yes",1,0)</f>
        <v>0</v>
      </c>
      <c r="H34" s="30" t="s">
        <v>347</v>
      </c>
      <c r="I34" s="30" t="s">
        <v>348</v>
      </c>
    </row>
    <row r="35" customFormat="false" ht="15" hidden="false" customHeight="false" outlineLevel="0" collapsed="false">
      <c r="A35" s="9" t="s">
        <v>349</v>
      </c>
      <c r="B35" s="21" t="s">
        <v>213</v>
      </c>
      <c r="C35" s="6" t="n">
        <f aca="false">IF(TRIM(Checklist!B10)="Yes",1,0)</f>
        <v>0</v>
      </c>
      <c r="H35" s="30" t="s">
        <v>350</v>
      </c>
      <c r="I35" s="30" t="s">
        <v>351</v>
      </c>
    </row>
    <row r="36" customFormat="false" ht="15" hidden="false" customHeight="false" outlineLevel="0" collapsed="false">
      <c r="H36" s="0" t="s">
        <v>352</v>
      </c>
      <c r="I36" s="0" t="s">
        <v>353</v>
      </c>
    </row>
    <row r="37" customFormat="false" ht="15" hidden="false" customHeight="false" outlineLevel="0" collapsed="false">
      <c r="H37" s="0" t="s">
        <v>354</v>
      </c>
      <c r="I37" s="0" t="s">
        <v>355</v>
      </c>
    </row>
    <row r="38" customFormat="false" ht="15" hidden="false" customHeight="false" outlineLevel="0" collapsed="false">
      <c r="H38" s="0" t="s">
        <v>356</v>
      </c>
      <c r="I38" s="0" t="s">
        <v>357</v>
      </c>
    </row>
    <row r="39" customFormat="false" ht="15" hidden="false" customHeight="false" outlineLevel="0" collapsed="false">
      <c r="A39" s="34" t="s">
        <v>358</v>
      </c>
      <c r="H39" s="30" t="s">
        <v>359</v>
      </c>
      <c r="I39" s="30" t="s">
        <v>360</v>
      </c>
    </row>
    <row r="40" customFormat="false" ht="15" hidden="false" customHeight="false" outlineLevel="0" collapsed="false">
      <c r="B40" s="6" t="s">
        <v>361</v>
      </c>
      <c r="C40" s="35" t="n">
        <v>80</v>
      </c>
      <c r="H40" s="30" t="s">
        <v>362</v>
      </c>
      <c r="I40" s="30" t="s">
        <v>363</v>
      </c>
    </row>
    <row r="41" customFormat="false" ht="15" hidden="false" customHeight="false" outlineLevel="0" collapsed="false">
      <c r="B41" s="6" t="s">
        <v>364</v>
      </c>
      <c r="C41" s="35" t="n">
        <v>86</v>
      </c>
      <c r="H41" s="30" t="s">
        <v>365</v>
      </c>
      <c r="I41" s="30" t="s">
        <v>366</v>
      </c>
    </row>
    <row r="42" customFormat="false" ht="15" hidden="false" customHeight="false" outlineLevel="0" collapsed="false">
      <c r="B42" s="6" t="s">
        <v>367</v>
      </c>
      <c r="C42" s="36" t="n">
        <v>0.75</v>
      </c>
      <c r="H42" s="30" t="s">
        <v>368</v>
      </c>
      <c r="I42" s="30" t="s">
        <v>369</v>
      </c>
    </row>
    <row r="43" customFormat="false" ht="15" hidden="false" customHeight="false" outlineLevel="0" collapsed="false">
      <c r="B43" s="6" t="s">
        <v>370</v>
      </c>
      <c r="C43" s="36" t="n">
        <v>0.8</v>
      </c>
      <c r="H43" s="30" t="s">
        <v>371</v>
      </c>
      <c r="I43" s="30" t="s">
        <v>372</v>
      </c>
    </row>
    <row r="44" customFormat="false" ht="15" hidden="false" customHeight="false" outlineLevel="0" collapsed="false">
      <c r="H44" s="0" t="s">
        <v>373</v>
      </c>
      <c r="I44" s="0" t="s">
        <v>374</v>
      </c>
    </row>
    <row r="45" customFormat="false" ht="15" hidden="false" customHeight="false" outlineLevel="0" collapsed="false">
      <c r="H45" s="0" t="s">
        <v>375</v>
      </c>
      <c r="I45" s="0" t="s">
        <v>376</v>
      </c>
    </row>
    <row r="46" customFormat="false" ht="15" hidden="false" customHeight="false" outlineLevel="0" collapsed="false">
      <c r="H46" s="0" t="s">
        <v>377</v>
      </c>
      <c r="I46" s="0" t="s">
        <v>378</v>
      </c>
    </row>
    <row r="47" customFormat="false" ht="15" hidden="false" customHeight="false" outlineLevel="0" collapsed="false">
      <c r="H47" s="0" t="s">
        <v>379</v>
      </c>
      <c r="I47" s="0" t="s">
        <v>380</v>
      </c>
    </row>
    <row r="48" customFormat="false" ht="15" hidden="false" customHeight="false" outlineLevel="0" collapsed="false">
      <c r="H48" s="0" t="s">
        <v>381</v>
      </c>
      <c r="I48" s="0" t="s">
        <v>382</v>
      </c>
    </row>
    <row r="49" customFormat="false" ht="15" hidden="false" customHeight="false" outlineLevel="0" collapsed="false">
      <c r="H49" s="0" t="s">
        <v>383</v>
      </c>
      <c r="I49" s="0" t="s">
        <v>384</v>
      </c>
    </row>
    <row r="50" customFormat="false" ht="15" hidden="false" customHeight="false" outlineLevel="0" collapsed="false">
      <c r="H50" s="0" t="s">
        <v>385</v>
      </c>
      <c r="I50" s="0" t="s">
        <v>386</v>
      </c>
    </row>
    <row r="51" customFormat="false" ht="15" hidden="false" customHeight="false" outlineLevel="0" collapsed="false">
      <c r="H51" s="0" t="s">
        <v>387</v>
      </c>
      <c r="I51" s="0" t="s">
        <v>388</v>
      </c>
    </row>
    <row r="52" customFormat="false" ht="15" hidden="false" customHeight="false" outlineLevel="0" collapsed="false">
      <c r="H52" s="0" t="s">
        <v>389</v>
      </c>
      <c r="I52" s="0" t="s">
        <v>390</v>
      </c>
    </row>
  </sheetData>
  <sheetProtection sheet="true" formatColumns="false" formatRows="false"/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2026-10-12T22:04:43Z</dcterms:created>
  <dc:creator>openpyxl</dc:creator>
  <dc:description/>
  <dc:language>en-US</dc:language>
  <cp:lastModifiedBy/>
  <dcterms:modified xsi:type="dcterms:W3CDTF">2026-10-12T22:04:43Z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